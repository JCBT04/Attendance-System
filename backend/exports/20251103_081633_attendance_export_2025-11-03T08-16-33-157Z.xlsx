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<sst xmlns="http://schemas.openxmlformats.org/spreadsheetml/2006/main" count="2316" uniqueCount="148">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</sst>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8"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3">
    <fill>
      <patternFill patternType="none"/>
    </fill>
    <fill>
      <patternFill patternType="gray125"/>
    </fill>
    <fill>
      <patternFill patternType="solid">
        <fgColor theme="0" tint="-0.0499893185216834"/>
        <bgColor indexed="64"/>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5">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2" fillId="0" borderId="1" xfId="0" applyFont="1" applyBorder="1" applyAlignment="1">
      <alignment horizontal="center" vertical="center"/>
    </xf>
    <xf numFmtId="0" fontId="13" fillId="0" borderId="2" xfId="0" applyFont="1" applyBorder="1" applyAlignment="1" applyProtection="1">
      <alignment horizontal="left" vertical="center"/>
      <protection locked="0"/>
    </xf>
    <xf numFmtId="0" fontId="14"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 fillId="0" borderId="44" xfId="0" applyFont="1" applyBorder="1" applyAlignment="1" applyProtection="1">
      <alignment horizontal="center" vertical="center"/>
      <protection locked="0"/>
    </xf>
    <xf numFmtId="0" fontId="1" fillId="0" borderId="45" xfId="0" applyFont="1" applyBorder="1" applyAlignment="1" applyProtection="1">
      <alignment horizontal="center" vertical="center"/>
      <protection locked="0"/>
    </xf>
    <xf numFmtId="0" fontId="1" fillId="0" borderId="46" xfId="0" applyFont="1" applyBorder="1" applyAlignment="1" applyProtection="1">
      <alignment horizontal="center" vertical="center"/>
      <protection locked="0"/>
    </xf>
    <xf numFmtId="0" fontId="1" fillId="0" borderId="47" xfId="0" applyFont="1" applyBorder="1" applyAlignment="1" applyProtection="1">
      <alignment horizontal="center" vertical="center"/>
      <protection locked="0"/>
    </xf>
    <xf numFmtId="0" fontId="1"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5"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6"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6"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5"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7"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0" fillId="0" borderId="33"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5</xdr:col>
      <xdr:colOff>48386</xdr:colOff>
      <xdr:row>63</xdr:row>
      <xdr:rowOff>32396</xdr:rowOff>
    </xdr:from>
    <xdr:ext cx="2000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38539</xdr:colOff>
      <xdr:row>63</xdr:row>
      <xdr:rowOff>32396</xdr:rowOff>
    </xdr:from>
    <xdr:ext cx="2000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38539</xdr:colOff>
      <xdr:row>63</xdr:row>
      <xdr:rowOff>32396</xdr:rowOff>
    </xdr:from>
    <xdr:ext cx="20002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38539</xdr:colOff>
      <xdr:row>63</xdr:row>
      <xdr:rowOff>32396</xdr:rowOff>
    </xdr:from>
    <xdr:ext cx="2000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9</xdr:col>
      <xdr:colOff>38539</xdr:colOff>
      <xdr:row>63</xdr:row>
      <xdr:rowOff>32396</xdr:rowOff>
    </xdr:from>
    <xdr:ext cx="2000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10</xdr:col>
      <xdr:colOff>38539</xdr:colOff>
      <xdr:row>63</xdr:row>
      <xdr:rowOff>32396</xdr:rowOff>
    </xdr:from>
    <xdr:ext cx="2000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11</xdr:col>
      <xdr:colOff>38539</xdr:colOff>
      <xdr:row>63</xdr:row>
      <xdr:rowOff>32396</xdr:rowOff>
    </xdr:from>
    <xdr:ext cx="2000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12</xdr:col>
      <xdr:colOff>38539</xdr:colOff>
      <xdr:row>63</xdr:row>
      <xdr:rowOff>32396</xdr:rowOff>
    </xdr:from>
    <xdr:ext cx="2000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13</xdr:col>
      <xdr:colOff>38539</xdr:colOff>
      <xdr:row>63</xdr:row>
      <xdr:rowOff>32396</xdr:rowOff>
    </xdr:from>
    <xdr:ext cx="2000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14</xdr:col>
      <xdr:colOff>38539</xdr:colOff>
      <xdr:row>63</xdr:row>
      <xdr:rowOff>32396</xdr:rowOff>
    </xdr:from>
    <xdr:ext cx="2000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15</xdr:col>
      <xdr:colOff>38539</xdr:colOff>
      <xdr:row>63</xdr:row>
      <xdr:rowOff>32396</xdr:rowOff>
    </xdr:from>
    <xdr:ext cx="2000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16</xdr:col>
      <xdr:colOff>38539</xdr:colOff>
      <xdr:row>63</xdr:row>
      <xdr:rowOff>32396</xdr:rowOff>
    </xdr:from>
    <xdr:ext cx="2000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17</xdr:col>
      <xdr:colOff>38539</xdr:colOff>
      <xdr:row>63</xdr:row>
      <xdr:rowOff>32396</xdr:rowOff>
    </xdr:from>
    <xdr:ext cx="2000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18</xdr:col>
      <xdr:colOff>38539</xdr:colOff>
      <xdr:row>63</xdr:row>
      <xdr:rowOff>32396</xdr:rowOff>
    </xdr:from>
    <xdr:ext cx="2000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19</xdr:col>
      <xdr:colOff>38539</xdr:colOff>
      <xdr:row>63</xdr:row>
      <xdr:rowOff>32396</xdr:rowOff>
    </xdr:from>
    <xdr:ext cx="2000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20</xdr:col>
      <xdr:colOff>38539</xdr:colOff>
      <xdr:row>63</xdr:row>
      <xdr:rowOff>32396</xdr:rowOff>
    </xdr:from>
    <xdr:ext cx="2000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21</xdr:col>
      <xdr:colOff>38539</xdr:colOff>
      <xdr:row>63</xdr:row>
      <xdr:rowOff>32396</xdr:rowOff>
    </xdr:from>
    <xdr:ext cx="2000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22</xdr:col>
      <xdr:colOff>38539</xdr:colOff>
      <xdr:row>63</xdr:row>
      <xdr:rowOff>32396</xdr:rowOff>
    </xdr:from>
    <xdr:ext cx="2000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23</xdr:col>
      <xdr:colOff>38539</xdr:colOff>
      <xdr:row>63</xdr:row>
      <xdr:rowOff>32396</xdr:rowOff>
    </xdr:from>
    <xdr:ext cx="2000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24</xdr:col>
      <xdr:colOff>38539</xdr:colOff>
      <xdr:row>63</xdr:row>
      <xdr:rowOff>32396</xdr:rowOff>
    </xdr:from>
    <xdr:ext cx="2000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25</xdr:col>
      <xdr:colOff>38539</xdr:colOff>
      <xdr:row>63</xdr:row>
      <xdr:rowOff>32396</xdr:rowOff>
    </xdr:from>
    <xdr:ext cx="2000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39575</xdr:colOff>
      <xdr:row>63</xdr:row>
      <xdr:rowOff>32396</xdr:rowOff>
    </xdr:from>
    <xdr:ext cx="590550"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5</xdr:col>
      <xdr:colOff>48386</xdr:colOff>
      <xdr:row>64</xdr:row>
      <xdr:rowOff>32396</xdr:rowOff>
    </xdr:from>
    <xdr:ext cx="2000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6</xdr:col>
      <xdr:colOff>38539</xdr:colOff>
      <xdr:row>64</xdr:row>
      <xdr:rowOff>32396</xdr:rowOff>
    </xdr:from>
    <xdr:ext cx="2000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38539</xdr:colOff>
      <xdr:row>64</xdr:row>
      <xdr:rowOff>32396</xdr:rowOff>
    </xdr:from>
    <xdr:ext cx="2000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38539</xdr:colOff>
      <xdr:row>64</xdr:row>
      <xdr:rowOff>32396</xdr:rowOff>
    </xdr:from>
    <xdr:ext cx="20002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9</xdr:col>
      <xdr:colOff>38539</xdr:colOff>
      <xdr:row>64</xdr:row>
      <xdr:rowOff>32396</xdr:rowOff>
    </xdr:from>
    <xdr:ext cx="2000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10</xdr:col>
      <xdr:colOff>38539</xdr:colOff>
      <xdr:row>64</xdr:row>
      <xdr:rowOff>32396</xdr:rowOff>
    </xdr:from>
    <xdr:ext cx="2000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11</xdr:col>
      <xdr:colOff>38539</xdr:colOff>
      <xdr:row>64</xdr:row>
      <xdr:rowOff>32396</xdr:rowOff>
    </xdr:from>
    <xdr:ext cx="2000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12</xdr:col>
      <xdr:colOff>38539</xdr:colOff>
      <xdr:row>64</xdr:row>
      <xdr:rowOff>32396</xdr:rowOff>
    </xdr:from>
    <xdr:ext cx="2000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13</xdr:col>
      <xdr:colOff>38539</xdr:colOff>
      <xdr:row>64</xdr:row>
      <xdr:rowOff>32396</xdr:rowOff>
    </xdr:from>
    <xdr:ext cx="2000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14</xdr:col>
      <xdr:colOff>38539</xdr:colOff>
      <xdr:row>64</xdr:row>
      <xdr:rowOff>32396</xdr:rowOff>
    </xdr:from>
    <xdr:ext cx="2000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15</xdr:col>
      <xdr:colOff>38539</xdr:colOff>
      <xdr:row>64</xdr:row>
      <xdr:rowOff>32396</xdr:rowOff>
    </xdr:from>
    <xdr:ext cx="2000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16</xdr:col>
      <xdr:colOff>38539</xdr:colOff>
      <xdr:row>64</xdr:row>
      <xdr:rowOff>32396</xdr:rowOff>
    </xdr:from>
    <xdr:ext cx="2000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17</xdr:col>
      <xdr:colOff>38539</xdr:colOff>
      <xdr:row>64</xdr:row>
      <xdr:rowOff>32396</xdr:rowOff>
    </xdr:from>
    <xdr:ext cx="2000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18</xdr:col>
      <xdr:colOff>38539</xdr:colOff>
      <xdr:row>64</xdr:row>
      <xdr:rowOff>32396</xdr:rowOff>
    </xdr:from>
    <xdr:ext cx="2000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19</xdr:col>
      <xdr:colOff>38539</xdr:colOff>
      <xdr:row>64</xdr:row>
      <xdr:rowOff>32396</xdr:rowOff>
    </xdr:from>
    <xdr:ext cx="2000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20</xdr:col>
      <xdr:colOff>38539</xdr:colOff>
      <xdr:row>64</xdr:row>
      <xdr:rowOff>32396</xdr:rowOff>
    </xdr:from>
    <xdr:ext cx="2000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21</xdr:col>
      <xdr:colOff>38539</xdr:colOff>
      <xdr:row>64</xdr:row>
      <xdr:rowOff>32396</xdr:rowOff>
    </xdr:from>
    <xdr:ext cx="2000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22</xdr:col>
      <xdr:colOff>38539</xdr:colOff>
      <xdr:row>64</xdr:row>
      <xdr:rowOff>32396</xdr:rowOff>
    </xdr:from>
    <xdr:ext cx="2000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23</xdr:col>
      <xdr:colOff>38539</xdr:colOff>
      <xdr:row>64</xdr:row>
      <xdr:rowOff>32396</xdr:rowOff>
    </xdr:from>
    <xdr:ext cx="2000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24</xdr:col>
      <xdr:colOff>38539</xdr:colOff>
      <xdr:row>64</xdr:row>
      <xdr:rowOff>32396</xdr:rowOff>
    </xdr:from>
    <xdr:ext cx="2000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25</xdr:col>
      <xdr:colOff>38539</xdr:colOff>
      <xdr:row>64</xdr:row>
      <xdr:rowOff>32396</xdr:rowOff>
    </xdr:from>
    <xdr:ext cx="2000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39575</xdr:colOff>
      <xdr:row>64</xdr:row>
      <xdr:rowOff>32396</xdr:rowOff>
    </xdr:from>
    <xdr:ext cx="590550"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5</xdr:col>
      <xdr:colOff>48386</xdr:colOff>
      <xdr:row>65</xdr:row>
      <xdr:rowOff>32396</xdr:rowOff>
    </xdr:from>
    <xdr:ext cx="2000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6</xdr:col>
      <xdr:colOff>38539</xdr:colOff>
      <xdr:row>65</xdr:row>
      <xdr:rowOff>32396</xdr:rowOff>
    </xdr:from>
    <xdr:ext cx="2000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38539</xdr:colOff>
      <xdr:row>65</xdr:row>
      <xdr:rowOff>32396</xdr:rowOff>
    </xdr:from>
    <xdr:ext cx="2000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38539</xdr:colOff>
      <xdr:row>65</xdr:row>
      <xdr:rowOff>32396</xdr:rowOff>
    </xdr:from>
    <xdr:ext cx="2000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9</xdr:col>
      <xdr:colOff>38539</xdr:colOff>
      <xdr:row>65</xdr:row>
      <xdr:rowOff>32396</xdr:rowOff>
    </xdr:from>
    <xdr:ext cx="2000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10</xdr:col>
      <xdr:colOff>38539</xdr:colOff>
      <xdr:row>65</xdr:row>
      <xdr:rowOff>32396</xdr:rowOff>
    </xdr:from>
    <xdr:ext cx="2000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11</xdr:col>
      <xdr:colOff>38539</xdr:colOff>
      <xdr:row>65</xdr:row>
      <xdr:rowOff>32396</xdr:rowOff>
    </xdr:from>
    <xdr:ext cx="2000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12</xdr:col>
      <xdr:colOff>38539</xdr:colOff>
      <xdr:row>65</xdr:row>
      <xdr:rowOff>32396</xdr:rowOff>
    </xdr:from>
    <xdr:ext cx="2000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13</xdr:col>
      <xdr:colOff>38539</xdr:colOff>
      <xdr:row>65</xdr:row>
      <xdr:rowOff>32396</xdr:rowOff>
    </xdr:from>
    <xdr:ext cx="2000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14</xdr:col>
      <xdr:colOff>38539</xdr:colOff>
      <xdr:row>65</xdr:row>
      <xdr:rowOff>32396</xdr:rowOff>
    </xdr:from>
    <xdr:ext cx="2000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15</xdr:col>
      <xdr:colOff>38539</xdr:colOff>
      <xdr:row>65</xdr:row>
      <xdr:rowOff>32396</xdr:rowOff>
    </xdr:from>
    <xdr:ext cx="2000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16</xdr:col>
      <xdr:colOff>38539</xdr:colOff>
      <xdr:row>65</xdr:row>
      <xdr:rowOff>32396</xdr:rowOff>
    </xdr:from>
    <xdr:ext cx="2000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17</xdr:col>
      <xdr:colOff>38539</xdr:colOff>
      <xdr:row>65</xdr:row>
      <xdr:rowOff>32396</xdr:rowOff>
    </xdr:from>
    <xdr:ext cx="2000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18</xdr:col>
      <xdr:colOff>38539</xdr:colOff>
      <xdr:row>65</xdr:row>
      <xdr:rowOff>32396</xdr:rowOff>
    </xdr:from>
    <xdr:ext cx="2000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19</xdr:col>
      <xdr:colOff>38539</xdr:colOff>
      <xdr:row>65</xdr:row>
      <xdr:rowOff>32396</xdr:rowOff>
    </xdr:from>
    <xdr:ext cx="2000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20</xdr:col>
      <xdr:colOff>38539</xdr:colOff>
      <xdr:row>65</xdr:row>
      <xdr:rowOff>32396</xdr:rowOff>
    </xdr:from>
    <xdr:ext cx="2000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21</xdr:col>
      <xdr:colOff>38539</xdr:colOff>
      <xdr:row>65</xdr:row>
      <xdr:rowOff>32396</xdr:rowOff>
    </xdr:from>
    <xdr:ext cx="2000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22</xdr:col>
      <xdr:colOff>38539</xdr:colOff>
      <xdr:row>65</xdr:row>
      <xdr:rowOff>32396</xdr:rowOff>
    </xdr:from>
    <xdr:ext cx="2000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23</xdr:col>
      <xdr:colOff>38539</xdr:colOff>
      <xdr:row>65</xdr:row>
      <xdr:rowOff>32396</xdr:rowOff>
    </xdr:from>
    <xdr:ext cx="2000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24</xdr:col>
      <xdr:colOff>38539</xdr:colOff>
      <xdr:row>65</xdr:row>
      <xdr:rowOff>32396</xdr:rowOff>
    </xdr:from>
    <xdr:ext cx="2000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25</xdr:col>
      <xdr:colOff>38539</xdr:colOff>
      <xdr:row>65</xdr:row>
      <xdr:rowOff>32396</xdr:rowOff>
    </xdr:from>
    <xdr:ext cx="2000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39575</xdr:colOff>
      <xdr:row>65</xdr:row>
      <xdr:rowOff>32396</xdr:rowOff>
    </xdr:from>
    <xdr:ext cx="590550"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5</xdr:col>
      <xdr:colOff>48386</xdr:colOff>
      <xdr:row>66</xdr:row>
      <xdr:rowOff>32396</xdr:rowOff>
    </xdr:from>
    <xdr:ext cx="2000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6</xdr:col>
      <xdr:colOff>38539</xdr:colOff>
      <xdr:row>66</xdr:row>
      <xdr:rowOff>32396</xdr:rowOff>
    </xdr:from>
    <xdr:ext cx="2000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38539</xdr:colOff>
      <xdr:row>66</xdr:row>
      <xdr:rowOff>32396</xdr:rowOff>
    </xdr:from>
    <xdr:ext cx="2000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38539</xdr:colOff>
      <xdr:row>66</xdr:row>
      <xdr:rowOff>32396</xdr:rowOff>
    </xdr:from>
    <xdr:ext cx="2000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9</xdr:col>
      <xdr:colOff>38539</xdr:colOff>
      <xdr:row>66</xdr:row>
      <xdr:rowOff>32396</xdr:rowOff>
    </xdr:from>
    <xdr:ext cx="2000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38539</xdr:colOff>
      <xdr:row>66</xdr:row>
      <xdr:rowOff>32396</xdr:rowOff>
    </xdr:from>
    <xdr:ext cx="2000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38539</xdr:colOff>
      <xdr:row>66</xdr:row>
      <xdr:rowOff>32396</xdr:rowOff>
    </xdr:from>
    <xdr:ext cx="2000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12</xdr:col>
      <xdr:colOff>38539</xdr:colOff>
      <xdr:row>66</xdr:row>
      <xdr:rowOff>32396</xdr:rowOff>
    </xdr:from>
    <xdr:ext cx="2000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13</xdr:col>
      <xdr:colOff>38539</xdr:colOff>
      <xdr:row>66</xdr:row>
      <xdr:rowOff>32396</xdr:rowOff>
    </xdr:from>
    <xdr:ext cx="2000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14</xdr:col>
      <xdr:colOff>38539</xdr:colOff>
      <xdr:row>66</xdr:row>
      <xdr:rowOff>32396</xdr:rowOff>
    </xdr:from>
    <xdr:ext cx="2000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15</xdr:col>
      <xdr:colOff>38539</xdr:colOff>
      <xdr:row>66</xdr:row>
      <xdr:rowOff>32396</xdr:rowOff>
    </xdr:from>
    <xdr:ext cx="2000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16</xdr:col>
      <xdr:colOff>38539</xdr:colOff>
      <xdr:row>66</xdr:row>
      <xdr:rowOff>32396</xdr:rowOff>
    </xdr:from>
    <xdr:ext cx="2000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17</xdr:col>
      <xdr:colOff>38539</xdr:colOff>
      <xdr:row>66</xdr:row>
      <xdr:rowOff>32396</xdr:rowOff>
    </xdr:from>
    <xdr:ext cx="2000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18</xdr:col>
      <xdr:colOff>38539</xdr:colOff>
      <xdr:row>66</xdr:row>
      <xdr:rowOff>32396</xdr:rowOff>
    </xdr:from>
    <xdr:ext cx="2000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19</xdr:col>
      <xdr:colOff>38539</xdr:colOff>
      <xdr:row>66</xdr:row>
      <xdr:rowOff>32396</xdr:rowOff>
    </xdr:from>
    <xdr:ext cx="2000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20</xdr:col>
      <xdr:colOff>38539</xdr:colOff>
      <xdr:row>66</xdr:row>
      <xdr:rowOff>32396</xdr:rowOff>
    </xdr:from>
    <xdr:ext cx="2000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21</xdr:col>
      <xdr:colOff>38539</xdr:colOff>
      <xdr:row>66</xdr:row>
      <xdr:rowOff>32396</xdr:rowOff>
    </xdr:from>
    <xdr:ext cx="2000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22</xdr:col>
      <xdr:colOff>38539</xdr:colOff>
      <xdr:row>66</xdr:row>
      <xdr:rowOff>32396</xdr:rowOff>
    </xdr:from>
    <xdr:ext cx="2000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23</xdr:col>
      <xdr:colOff>38539</xdr:colOff>
      <xdr:row>66</xdr:row>
      <xdr:rowOff>32396</xdr:rowOff>
    </xdr:from>
    <xdr:ext cx="2000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24</xdr:col>
      <xdr:colOff>38539</xdr:colOff>
      <xdr:row>66</xdr:row>
      <xdr:rowOff>32396</xdr:rowOff>
    </xdr:from>
    <xdr:ext cx="2000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25</xdr:col>
      <xdr:colOff>38539</xdr:colOff>
      <xdr:row>66</xdr:row>
      <xdr:rowOff>32396</xdr:rowOff>
    </xdr:from>
    <xdr:ext cx="2000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39575</xdr:colOff>
      <xdr:row>66</xdr:row>
      <xdr:rowOff>32396</xdr:rowOff>
    </xdr:from>
    <xdr:ext cx="590550"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5</xdr:col>
      <xdr:colOff>48386</xdr:colOff>
      <xdr:row>67</xdr:row>
      <xdr:rowOff>32396</xdr:rowOff>
    </xdr:from>
    <xdr:ext cx="2000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6</xdr:col>
      <xdr:colOff>38539</xdr:colOff>
      <xdr:row>67</xdr:row>
      <xdr:rowOff>32396</xdr:rowOff>
    </xdr:from>
    <xdr:ext cx="2000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38539</xdr:colOff>
      <xdr:row>67</xdr:row>
      <xdr:rowOff>32396</xdr:rowOff>
    </xdr:from>
    <xdr:ext cx="2000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38539</xdr:colOff>
      <xdr:row>67</xdr:row>
      <xdr:rowOff>32396</xdr:rowOff>
    </xdr:from>
    <xdr:ext cx="2000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9</xdr:col>
      <xdr:colOff>38539</xdr:colOff>
      <xdr:row>67</xdr:row>
      <xdr:rowOff>32396</xdr:rowOff>
    </xdr:from>
    <xdr:ext cx="2000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10</xdr:col>
      <xdr:colOff>38539</xdr:colOff>
      <xdr:row>67</xdr:row>
      <xdr:rowOff>32396</xdr:rowOff>
    </xdr:from>
    <xdr:ext cx="2000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11</xdr:col>
      <xdr:colOff>38539</xdr:colOff>
      <xdr:row>67</xdr:row>
      <xdr:rowOff>32396</xdr:rowOff>
    </xdr:from>
    <xdr:ext cx="2000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12</xdr:col>
      <xdr:colOff>38539</xdr:colOff>
      <xdr:row>67</xdr:row>
      <xdr:rowOff>32396</xdr:rowOff>
    </xdr:from>
    <xdr:ext cx="2000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13</xdr:col>
      <xdr:colOff>38539</xdr:colOff>
      <xdr:row>67</xdr:row>
      <xdr:rowOff>32396</xdr:rowOff>
    </xdr:from>
    <xdr:ext cx="2000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14</xdr:col>
      <xdr:colOff>38539</xdr:colOff>
      <xdr:row>67</xdr:row>
      <xdr:rowOff>32396</xdr:rowOff>
    </xdr:from>
    <xdr:ext cx="2000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38539</xdr:colOff>
      <xdr:row>67</xdr:row>
      <xdr:rowOff>32396</xdr:rowOff>
    </xdr:from>
    <xdr:ext cx="2000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38539</xdr:colOff>
      <xdr:row>67</xdr:row>
      <xdr:rowOff>32396</xdr:rowOff>
    </xdr:from>
    <xdr:ext cx="2000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38539</xdr:colOff>
      <xdr:row>67</xdr:row>
      <xdr:rowOff>32396</xdr:rowOff>
    </xdr:from>
    <xdr:ext cx="2000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18</xdr:col>
      <xdr:colOff>38539</xdr:colOff>
      <xdr:row>67</xdr:row>
      <xdr:rowOff>32396</xdr:rowOff>
    </xdr:from>
    <xdr:ext cx="2000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19</xdr:col>
      <xdr:colOff>38539</xdr:colOff>
      <xdr:row>67</xdr:row>
      <xdr:rowOff>32396</xdr:rowOff>
    </xdr:from>
    <xdr:ext cx="2000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20</xdr:col>
      <xdr:colOff>38539</xdr:colOff>
      <xdr:row>67</xdr:row>
      <xdr:rowOff>32396</xdr:rowOff>
    </xdr:from>
    <xdr:ext cx="2000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21</xdr:col>
      <xdr:colOff>38539</xdr:colOff>
      <xdr:row>67</xdr:row>
      <xdr:rowOff>32396</xdr:rowOff>
    </xdr:from>
    <xdr:ext cx="2000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22</xdr:col>
      <xdr:colOff>38539</xdr:colOff>
      <xdr:row>67</xdr:row>
      <xdr:rowOff>32396</xdr:rowOff>
    </xdr:from>
    <xdr:ext cx="2000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23</xdr:col>
      <xdr:colOff>38539</xdr:colOff>
      <xdr:row>67</xdr:row>
      <xdr:rowOff>32396</xdr:rowOff>
    </xdr:from>
    <xdr:ext cx="2000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24</xdr:col>
      <xdr:colOff>38539</xdr:colOff>
      <xdr:row>67</xdr:row>
      <xdr:rowOff>32396</xdr:rowOff>
    </xdr:from>
    <xdr:ext cx="2000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25</xdr:col>
      <xdr:colOff>38539</xdr:colOff>
      <xdr:row>67</xdr:row>
      <xdr:rowOff>32396</xdr:rowOff>
    </xdr:from>
    <xdr:ext cx="2000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39575</xdr:colOff>
      <xdr:row>67</xdr:row>
      <xdr:rowOff>32396</xdr:rowOff>
    </xdr:from>
    <xdr:ext cx="590550"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5</xdr:col>
      <xdr:colOff>51703</xdr:colOff>
      <xdr:row>12</xdr:row>
      <xdr:rowOff>24845</xdr:rowOff>
    </xdr:from>
    <xdr:ext cx="23812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5</xdr:col>
      <xdr:colOff>51703</xdr:colOff>
      <xdr:row>13</xdr:row>
      <xdr:rowOff>24845</xdr:rowOff>
    </xdr:from>
    <xdr:ext cx="23812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5</xdr:col>
      <xdr:colOff>51703</xdr:colOff>
      <xdr:row>14</xdr:row>
      <xdr:rowOff>24845</xdr:rowOff>
    </xdr:from>
    <xdr:ext cx="23812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5</xdr:col>
      <xdr:colOff>48386</xdr:colOff>
      <xdr:row>63</xdr:row>
      <xdr:rowOff>32396</xdr:rowOff>
    </xdr:from>
    <xdr:ext cx="2000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5</xdr:col>
      <xdr:colOff>48386</xdr:colOff>
      <xdr:row>64</xdr:row>
      <xdr:rowOff>32396</xdr:rowOff>
    </xdr:from>
    <xdr:ext cx="2000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5</xdr:col>
      <xdr:colOff>48386</xdr:colOff>
      <xdr:row>65</xdr:row>
      <xdr:rowOff>32396</xdr:rowOff>
    </xdr:from>
    <xdr:ext cx="2000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5</xdr:col>
      <xdr:colOff>48386</xdr:colOff>
      <xdr:row>66</xdr:row>
      <xdr:rowOff>32396</xdr:rowOff>
    </xdr:from>
    <xdr:ext cx="2000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5</xdr:col>
      <xdr:colOff>48386</xdr:colOff>
      <xdr:row>67</xdr:row>
      <xdr:rowOff>32396</xdr:rowOff>
    </xdr:from>
    <xdr:ext cx="2000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41181</xdr:colOff>
      <xdr:row>12</xdr:row>
      <xdr:rowOff>24845</xdr:rowOff>
    </xdr:from>
    <xdr:ext cx="23812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41181</xdr:colOff>
      <xdr:row>13</xdr:row>
      <xdr:rowOff>24845</xdr:rowOff>
    </xdr:from>
    <xdr:ext cx="23812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41181</xdr:colOff>
      <xdr:row>14</xdr:row>
      <xdr:rowOff>24845</xdr:rowOff>
    </xdr:from>
    <xdr:ext cx="23812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38539</xdr:colOff>
      <xdr:row>63</xdr:row>
      <xdr:rowOff>32396</xdr:rowOff>
    </xdr:from>
    <xdr:ext cx="2000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38539</xdr:colOff>
      <xdr:row>64</xdr:row>
      <xdr:rowOff>32396</xdr:rowOff>
    </xdr:from>
    <xdr:ext cx="2000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38539</xdr:colOff>
      <xdr:row>65</xdr:row>
      <xdr:rowOff>32396</xdr:rowOff>
    </xdr:from>
    <xdr:ext cx="2000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38539</xdr:colOff>
      <xdr:row>66</xdr:row>
      <xdr:rowOff>32396</xdr:rowOff>
    </xdr:from>
    <xdr:ext cx="2000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38539</xdr:colOff>
      <xdr:row>67</xdr:row>
      <xdr:rowOff>32396</xdr:rowOff>
    </xdr:from>
    <xdr:ext cx="2000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41181</xdr:colOff>
      <xdr:row>12</xdr:row>
      <xdr:rowOff>24845</xdr:rowOff>
    </xdr:from>
    <xdr:ext cx="23812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41181</xdr:colOff>
      <xdr:row>13</xdr:row>
      <xdr:rowOff>24845</xdr:rowOff>
    </xdr:from>
    <xdr:ext cx="23812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41181</xdr:colOff>
      <xdr:row>14</xdr:row>
      <xdr:rowOff>24845</xdr:rowOff>
    </xdr:from>
    <xdr:ext cx="23812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38539</xdr:colOff>
      <xdr:row>63</xdr:row>
      <xdr:rowOff>32396</xdr:rowOff>
    </xdr:from>
    <xdr:ext cx="2000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38539</xdr:colOff>
      <xdr:row>64</xdr:row>
      <xdr:rowOff>32396</xdr:rowOff>
    </xdr:from>
    <xdr:ext cx="2000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38539</xdr:colOff>
      <xdr:row>65</xdr:row>
      <xdr:rowOff>32396</xdr:rowOff>
    </xdr:from>
    <xdr:ext cx="2000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38539</xdr:colOff>
      <xdr:row>66</xdr:row>
      <xdr:rowOff>32396</xdr:rowOff>
    </xdr:from>
    <xdr:ext cx="2000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38539</xdr:colOff>
      <xdr:row>67</xdr:row>
      <xdr:rowOff>32396</xdr:rowOff>
    </xdr:from>
    <xdr:ext cx="2000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41181</xdr:colOff>
      <xdr:row>12</xdr:row>
      <xdr:rowOff>24845</xdr:rowOff>
    </xdr:from>
    <xdr:ext cx="23812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41181</xdr:colOff>
      <xdr:row>13</xdr:row>
      <xdr:rowOff>24845</xdr:rowOff>
    </xdr:from>
    <xdr:ext cx="23812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41181</xdr:colOff>
      <xdr:row>14</xdr:row>
      <xdr:rowOff>24845</xdr:rowOff>
    </xdr:from>
    <xdr:ext cx="23812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38539</xdr:colOff>
      <xdr:row>63</xdr:row>
      <xdr:rowOff>32396</xdr:rowOff>
    </xdr:from>
    <xdr:ext cx="2000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38539</xdr:colOff>
      <xdr:row>64</xdr:row>
      <xdr:rowOff>32396</xdr:rowOff>
    </xdr:from>
    <xdr:ext cx="2000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38539</xdr:colOff>
      <xdr:row>65</xdr:row>
      <xdr:rowOff>32396</xdr:rowOff>
    </xdr:from>
    <xdr:ext cx="2000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38539</xdr:colOff>
      <xdr:row>66</xdr:row>
      <xdr:rowOff>32396</xdr:rowOff>
    </xdr:from>
    <xdr:ext cx="2000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38539</xdr:colOff>
      <xdr:row>67</xdr:row>
      <xdr:rowOff>32396</xdr:rowOff>
    </xdr:from>
    <xdr:ext cx="2000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41181</xdr:colOff>
      <xdr:row>12</xdr:row>
      <xdr:rowOff>24845</xdr:rowOff>
    </xdr:from>
    <xdr:ext cx="23812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41181</xdr:colOff>
      <xdr:row>13</xdr:row>
      <xdr:rowOff>24845</xdr:rowOff>
    </xdr:from>
    <xdr:ext cx="23812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41181</xdr:colOff>
      <xdr:row>14</xdr:row>
      <xdr:rowOff>24845</xdr:rowOff>
    </xdr:from>
    <xdr:ext cx="23812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38539</xdr:colOff>
      <xdr:row>63</xdr:row>
      <xdr:rowOff>32396</xdr:rowOff>
    </xdr:from>
    <xdr:ext cx="2000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38539</xdr:colOff>
      <xdr:row>64</xdr:row>
      <xdr:rowOff>32396</xdr:rowOff>
    </xdr:from>
    <xdr:ext cx="2000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38539</xdr:colOff>
      <xdr:row>65</xdr:row>
      <xdr:rowOff>32396</xdr:rowOff>
    </xdr:from>
    <xdr:ext cx="2000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38539</xdr:colOff>
      <xdr:row>66</xdr:row>
      <xdr:rowOff>32396</xdr:rowOff>
    </xdr:from>
    <xdr:ext cx="2000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38539</xdr:colOff>
      <xdr:row>67</xdr:row>
      <xdr:rowOff>32396</xdr:rowOff>
    </xdr:from>
    <xdr:ext cx="2000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41181</xdr:colOff>
      <xdr:row>12</xdr:row>
      <xdr:rowOff>24845</xdr:rowOff>
    </xdr:from>
    <xdr:ext cx="23812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41181</xdr:colOff>
      <xdr:row>13</xdr:row>
      <xdr:rowOff>24845</xdr:rowOff>
    </xdr:from>
    <xdr:ext cx="23812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41181</xdr:colOff>
      <xdr:row>14</xdr:row>
      <xdr:rowOff>24845</xdr:rowOff>
    </xdr:from>
    <xdr:ext cx="23812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38539</xdr:colOff>
      <xdr:row>63</xdr:row>
      <xdr:rowOff>32396</xdr:rowOff>
    </xdr:from>
    <xdr:ext cx="2000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38539</xdr:colOff>
      <xdr:row>64</xdr:row>
      <xdr:rowOff>32396</xdr:rowOff>
    </xdr:from>
    <xdr:ext cx="2000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38539</xdr:colOff>
      <xdr:row>65</xdr:row>
      <xdr:rowOff>32396</xdr:rowOff>
    </xdr:from>
    <xdr:ext cx="2000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38539</xdr:colOff>
      <xdr:row>66</xdr:row>
      <xdr:rowOff>32396</xdr:rowOff>
    </xdr:from>
    <xdr:ext cx="2000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38539</xdr:colOff>
      <xdr:row>67</xdr:row>
      <xdr:rowOff>32396</xdr:rowOff>
    </xdr:from>
    <xdr:ext cx="2000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41181</xdr:colOff>
      <xdr:row>12</xdr:row>
      <xdr:rowOff>24845</xdr:rowOff>
    </xdr:from>
    <xdr:ext cx="23812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41181</xdr:colOff>
      <xdr:row>13</xdr:row>
      <xdr:rowOff>24845</xdr:rowOff>
    </xdr:from>
    <xdr:ext cx="23812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41181</xdr:colOff>
      <xdr:row>14</xdr:row>
      <xdr:rowOff>24845</xdr:rowOff>
    </xdr:from>
    <xdr:ext cx="23812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38539</xdr:colOff>
      <xdr:row>63</xdr:row>
      <xdr:rowOff>32396</xdr:rowOff>
    </xdr:from>
    <xdr:ext cx="2000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38539</xdr:colOff>
      <xdr:row>64</xdr:row>
      <xdr:rowOff>32396</xdr:rowOff>
    </xdr:from>
    <xdr:ext cx="2000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38539</xdr:colOff>
      <xdr:row>65</xdr:row>
      <xdr:rowOff>32396</xdr:rowOff>
    </xdr:from>
    <xdr:ext cx="2000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38539</xdr:colOff>
      <xdr:row>66</xdr:row>
      <xdr:rowOff>32396</xdr:rowOff>
    </xdr:from>
    <xdr:ext cx="2000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38539</xdr:colOff>
      <xdr:row>67</xdr:row>
      <xdr:rowOff>32396</xdr:rowOff>
    </xdr:from>
    <xdr:ext cx="2000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41181</xdr:colOff>
      <xdr:row>12</xdr:row>
      <xdr:rowOff>24845</xdr:rowOff>
    </xdr:from>
    <xdr:ext cx="23812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41181</xdr:colOff>
      <xdr:row>13</xdr:row>
      <xdr:rowOff>24845</xdr:rowOff>
    </xdr:from>
    <xdr:ext cx="23812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41181</xdr:colOff>
      <xdr:row>14</xdr:row>
      <xdr:rowOff>24845</xdr:rowOff>
    </xdr:from>
    <xdr:ext cx="23812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38539</xdr:colOff>
      <xdr:row>63</xdr:row>
      <xdr:rowOff>32396</xdr:rowOff>
    </xdr:from>
    <xdr:ext cx="2000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38539</xdr:colOff>
      <xdr:row>64</xdr:row>
      <xdr:rowOff>32396</xdr:rowOff>
    </xdr:from>
    <xdr:ext cx="2000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38539</xdr:colOff>
      <xdr:row>65</xdr:row>
      <xdr:rowOff>32396</xdr:rowOff>
    </xdr:from>
    <xdr:ext cx="2000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38539</xdr:colOff>
      <xdr:row>66</xdr:row>
      <xdr:rowOff>32396</xdr:rowOff>
    </xdr:from>
    <xdr:ext cx="2000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38539</xdr:colOff>
      <xdr:row>67</xdr:row>
      <xdr:rowOff>32396</xdr:rowOff>
    </xdr:from>
    <xdr:ext cx="2000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41181</xdr:colOff>
      <xdr:row>12</xdr:row>
      <xdr:rowOff>24845</xdr:rowOff>
    </xdr:from>
    <xdr:ext cx="23812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41181</xdr:colOff>
      <xdr:row>13</xdr:row>
      <xdr:rowOff>24845</xdr:rowOff>
    </xdr:from>
    <xdr:ext cx="23812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41181</xdr:colOff>
      <xdr:row>14</xdr:row>
      <xdr:rowOff>24845</xdr:rowOff>
    </xdr:from>
    <xdr:ext cx="23812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38539</xdr:colOff>
      <xdr:row>63</xdr:row>
      <xdr:rowOff>32396</xdr:rowOff>
    </xdr:from>
    <xdr:ext cx="2000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38539</xdr:colOff>
      <xdr:row>64</xdr:row>
      <xdr:rowOff>32396</xdr:rowOff>
    </xdr:from>
    <xdr:ext cx="2000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38539</xdr:colOff>
      <xdr:row>65</xdr:row>
      <xdr:rowOff>32396</xdr:rowOff>
    </xdr:from>
    <xdr:ext cx="2000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38539</xdr:colOff>
      <xdr:row>66</xdr:row>
      <xdr:rowOff>32396</xdr:rowOff>
    </xdr:from>
    <xdr:ext cx="2000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38539</xdr:colOff>
      <xdr:row>67</xdr:row>
      <xdr:rowOff>32396</xdr:rowOff>
    </xdr:from>
    <xdr:ext cx="2000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41181</xdr:colOff>
      <xdr:row>12</xdr:row>
      <xdr:rowOff>24845</xdr:rowOff>
    </xdr:from>
    <xdr:ext cx="23812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41181</xdr:colOff>
      <xdr:row>13</xdr:row>
      <xdr:rowOff>24845</xdr:rowOff>
    </xdr:from>
    <xdr:ext cx="23812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41181</xdr:colOff>
      <xdr:row>14</xdr:row>
      <xdr:rowOff>24845</xdr:rowOff>
    </xdr:from>
    <xdr:ext cx="23812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38539</xdr:colOff>
      <xdr:row>63</xdr:row>
      <xdr:rowOff>32396</xdr:rowOff>
    </xdr:from>
    <xdr:ext cx="2000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38539</xdr:colOff>
      <xdr:row>64</xdr:row>
      <xdr:rowOff>32396</xdr:rowOff>
    </xdr:from>
    <xdr:ext cx="2000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38539</xdr:colOff>
      <xdr:row>65</xdr:row>
      <xdr:rowOff>32396</xdr:rowOff>
    </xdr:from>
    <xdr:ext cx="2000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38539</xdr:colOff>
      <xdr:row>66</xdr:row>
      <xdr:rowOff>32396</xdr:rowOff>
    </xdr:from>
    <xdr:ext cx="2000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38539</xdr:colOff>
      <xdr:row>67</xdr:row>
      <xdr:rowOff>32396</xdr:rowOff>
    </xdr:from>
    <xdr:ext cx="2000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41181</xdr:colOff>
      <xdr:row>12</xdr:row>
      <xdr:rowOff>24845</xdr:rowOff>
    </xdr:from>
    <xdr:ext cx="23812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41181</xdr:colOff>
      <xdr:row>13</xdr:row>
      <xdr:rowOff>24845</xdr:rowOff>
    </xdr:from>
    <xdr:ext cx="23812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41181</xdr:colOff>
      <xdr:row>14</xdr:row>
      <xdr:rowOff>24845</xdr:rowOff>
    </xdr:from>
    <xdr:ext cx="23812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38539</xdr:colOff>
      <xdr:row>63</xdr:row>
      <xdr:rowOff>32396</xdr:rowOff>
    </xdr:from>
    <xdr:ext cx="2000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38539</xdr:colOff>
      <xdr:row>64</xdr:row>
      <xdr:rowOff>32396</xdr:rowOff>
    </xdr:from>
    <xdr:ext cx="2000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38539</xdr:colOff>
      <xdr:row>65</xdr:row>
      <xdr:rowOff>32396</xdr:rowOff>
    </xdr:from>
    <xdr:ext cx="2000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38539</xdr:colOff>
      <xdr:row>66</xdr:row>
      <xdr:rowOff>32396</xdr:rowOff>
    </xdr:from>
    <xdr:ext cx="2000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38539</xdr:colOff>
      <xdr:row>67</xdr:row>
      <xdr:rowOff>32396</xdr:rowOff>
    </xdr:from>
    <xdr:ext cx="2000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41181</xdr:colOff>
      <xdr:row>12</xdr:row>
      <xdr:rowOff>24845</xdr:rowOff>
    </xdr:from>
    <xdr:ext cx="23812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41181</xdr:colOff>
      <xdr:row>13</xdr:row>
      <xdr:rowOff>24845</xdr:rowOff>
    </xdr:from>
    <xdr:ext cx="23812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41181</xdr:colOff>
      <xdr:row>14</xdr:row>
      <xdr:rowOff>24845</xdr:rowOff>
    </xdr:from>
    <xdr:ext cx="23812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38539</xdr:colOff>
      <xdr:row>63</xdr:row>
      <xdr:rowOff>32396</xdr:rowOff>
    </xdr:from>
    <xdr:ext cx="2000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38539</xdr:colOff>
      <xdr:row>64</xdr:row>
      <xdr:rowOff>32396</xdr:rowOff>
    </xdr:from>
    <xdr:ext cx="2000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38539</xdr:colOff>
      <xdr:row>65</xdr:row>
      <xdr:rowOff>32396</xdr:rowOff>
    </xdr:from>
    <xdr:ext cx="2000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38539</xdr:colOff>
      <xdr:row>66</xdr:row>
      <xdr:rowOff>32396</xdr:rowOff>
    </xdr:from>
    <xdr:ext cx="2000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38539</xdr:colOff>
      <xdr:row>67</xdr:row>
      <xdr:rowOff>32396</xdr:rowOff>
    </xdr:from>
    <xdr:ext cx="2000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41181</xdr:colOff>
      <xdr:row>12</xdr:row>
      <xdr:rowOff>24845</xdr:rowOff>
    </xdr:from>
    <xdr:ext cx="23812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41181</xdr:colOff>
      <xdr:row>13</xdr:row>
      <xdr:rowOff>24845</xdr:rowOff>
    </xdr:from>
    <xdr:ext cx="23812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41181</xdr:colOff>
      <xdr:row>14</xdr:row>
      <xdr:rowOff>24845</xdr:rowOff>
    </xdr:from>
    <xdr:ext cx="23812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38539</xdr:colOff>
      <xdr:row>63</xdr:row>
      <xdr:rowOff>32396</xdr:rowOff>
    </xdr:from>
    <xdr:ext cx="2000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38539</xdr:colOff>
      <xdr:row>64</xdr:row>
      <xdr:rowOff>32396</xdr:rowOff>
    </xdr:from>
    <xdr:ext cx="2000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38539</xdr:colOff>
      <xdr:row>65</xdr:row>
      <xdr:rowOff>32396</xdr:rowOff>
    </xdr:from>
    <xdr:ext cx="2000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38539</xdr:colOff>
      <xdr:row>66</xdr:row>
      <xdr:rowOff>32396</xdr:rowOff>
    </xdr:from>
    <xdr:ext cx="2000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38539</xdr:colOff>
      <xdr:row>67</xdr:row>
      <xdr:rowOff>32396</xdr:rowOff>
    </xdr:from>
    <xdr:ext cx="2000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41181</xdr:colOff>
      <xdr:row>12</xdr:row>
      <xdr:rowOff>24845</xdr:rowOff>
    </xdr:from>
    <xdr:ext cx="23812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41181</xdr:colOff>
      <xdr:row>13</xdr:row>
      <xdr:rowOff>24845</xdr:rowOff>
    </xdr:from>
    <xdr:ext cx="23812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41181</xdr:colOff>
      <xdr:row>14</xdr:row>
      <xdr:rowOff>24845</xdr:rowOff>
    </xdr:from>
    <xdr:ext cx="23812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38539</xdr:colOff>
      <xdr:row>63</xdr:row>
      <xdr:rowOff>32396</xdr:rowOff>
    </xdr:from>
    <xdr:ext cx="2000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38539</xdr:colOff>
      <xdr:row>64</xdr:row>
      <xdr:rowOff>32396</xdr:rowOff>
    </xdr:from>
    <xdr:ext cx="2000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38539</xdr:colOff>
      <xdr:row>65</xdr:row>
      <xdr:rowOff>32396</xdr:rowOff>
    </xdr:from>
    <xdr:ext cx="2000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38539</xdr:colOff>
      <xdr:row>66</xdr:row>
      <xdr:rowOff>32396</xdr:rowOff>
    </xdr:from>
    <xdr:ext cx="2000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38539</xdr:colOff>
      <xdr:row>67</xdr:row>
      <xdr:rowOff>32396</xdr:rowOff>
    </xdr:from>
    <xdr:ext cx="2000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41181</xdr:colOff>
      <xdr:row>12</xdr:row>
      <xdr:rowOff>24845</xdr:rowOff>
    </xdr:from>
    <xdr:ext cx="23812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41181</xdr:colOff>
      <xdr:row>13</xdr:row>
      <xdr:rowOff>24845</xdr:rowOff>
    </xdr:from>
    <xdr:ext cx="23812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41181</xdr:colOff>
      <xdr:row>14</xdr:row>
      <xdr:rowOff>24845</xdr:rowOff>
    </xdr:from>
    <xdr:ext cx="23812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38539</xdr:colOff>
      <xdr:row>63</xdr:row>
      <xdr:rowOff>32396</xdr:rowOff>
    </xdr:from>
    <xdr:ext cx="2000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38539</xdr:colOff>
      <xdr:row>64</xdr:row>
      <xdr:rowOff>32396</xdr:rowOff>
    </xdr:from>
    <xdr:ext cx="2000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38539</xdr:colOff>
      <xdr:row>65</xdr:row>
      <xdr:rowOff>32396</xdr:rowOff>
    </xdr:from>
    <xdr:ext cx="2000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38539</xdr:colOff>
      <xdr:row>66</xdr:row>
      <xdr:rowOff>32396</xdr:rowOff>
    </xdr:from>
    <xdr:ext cx="2000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38539</xdr:colOff>
      <xdr:row>67</xdr:row>
      <xdr:rowOff>32396</xdr:rowOff>
    </xdr:from>
    <xdr:ext cx="2000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41181</xdr:colOff>
      <xdr:row>12</xdr:row>
      <xdr:rowOff>24845</xdr:rowOff>
    </xdr:from>
    <xdr:ext cx="23812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41181</xdr:colOff>
      <xdr:row>13</xdr:row>
      <xdr:rowOff>24845</xdr:rowOff>
    </xdr:from>
    <xdr:ext cx="23812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41181</xdr:colOff>
      <xdr:row>14</xdr:row>
      <xdr:rowOff>24845</xdr:rowOff>
    </xdr:from>
    <xdr:ext cx="23812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38539</xdr:colOff>
      <xdr:row>63</xdr:row>
      <xdr:rowOff>32396</xdr:rowOff>
    </xdr:from>
    <xdr:ext cx="2000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38539</xdr:colOff>
      <xdr:row>64</xdr:row>
      <xdr:rowOff>32396</xdr:rowOff>
    </xdr:from>
    <xdr:ext cx="2000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38539</xdr:colOff>
      <xdr:row>65</xdr:row>
      <xdr:rowOff>32396</xdr:rowOff>
    </xdr:from>
    <xdr:ext cx="2000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38539</xdr:colOff>
      <xdr:row>66</xdr:row>
      <xdr:rowOff>32396</xdr:rowOff>
    </xdr:from>
    <xdr:ext cx="2000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38539</xdr:colOff>
      <xdr:row>67</xdr:row>
      <xdr:rowOff>32396</xdr:rowOff>
    </xdr:from>
    <xdr:ext cx="2000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41181</xdr:colOff>
      <xdr:row>12</xdr:row>
      <xdr:rowOff>24845</xdr:rowOff>
    </xdr:from>
    <xdr:ext cx="23812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41181</xdr:colOff>
      <xdr:row>13</xdr:row>
      <xdr:rowOff>24845</xdr:rowOff>
    </xdr:from>
    <xdr:ext cx="23812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41181</xdr:colOff>
      <xdr:row>14</xdr:row>
      <xdr:rowOff>24845</xdr:rowOff>
    </xdr:from>
    <xdr:ext cx="23812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38539</xdr:colOff>
      <xdr:row>63</xdr:row>
      <xdr:rowOff>32396</xdr:rowOff>
    </xdr:from>
    <xdr:ext cx="2000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38539</xdr:colOff>
      <xdr:row>64</xdr:row>
      <xdr:rowOff>32396</xdr:rowOff>
    </xdr:from>
    <xdr:ext cx="2000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38539</xdr:colOff>
      <xdr:row>65</xdr:row>
      <xdr:rowOff>32396</xdr:rowOff>
    </xdr:from>
    <xdr:ext cx="2000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38539</xdr:colOff>
      <xdr:row>66</xdr:row>
      <xdr:rowOff>32396</xdr:rowOff>
    </xdr:from>
    <xdr:ext cx="2000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38539</xdr:colOff>
      <xdr:row>67</xdr:row>
      <xdr:rowOff>32396</xdr:rowOff>
    </xdr:from>
    <xdr:ext cx="2000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41181</xdr:colOff>
      <xdr:row>12</xdr:row>
      <xdr:rowOff>24845</xdr:rowOff>
    </xdr:from>
    <xdr:ext cx="23812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41181</xdr:colOff>
      <xdr:row>13</xdr:row>
      <xdr:rowOff>24845</xdr:rowOff>
    </xdr:from>
    <xdr:ext cx="23812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41181</xdr:colOff>
      <xdr:row>14</xdr:row>
      <xdr:rowOff>24845</xdr:rowOff>
    </xdr:from>
    <xdr:ext cx="23812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38539</xdr:colOff>
      <xdr:row>63</xdr:row>
      <xdr:rowOff>32396</xdr:rowOff>
    </xdr:from>
    <xdr:ext cx="2000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38539</xdr:colOff>
      <xdr:row>64</xdr:row>
      <xdr:rowOff>32396</xdr:rowOff>
    </xdr:from>
    <xdr:ext cx="2000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38539</xdr:colOff>
      <xdr:row>65</xdr:row>
      <xdr:rowOff>32396</xdr:rowOff>
    </xdr:from>
    <xdr:ext cx="2000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38539</xdr:colOff>
      <xdr:row>66</xdr:row>
      <xdr:rowOff>32396</xdr:rowOff>
    </xdr:from>
    <xdr:ext cx="2000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38539</xdr:colOff>
      <xdr:row>67</xdr:row>
      <xdr:rowOff>32396</xdr:rowOff>
    </xdr:from>
    <xdr:ext cx="2000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41181</xdr:colOff>
      <xdr:row>12</xdr:row>
      <xdr:rowOff>24845</xdr:rowOff>
    </xdr:from>
    <xdr:ext cx="23812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41181</xdr:colOff>
      <xdr:row>13</xdr:row>
      <xdr:rowOff>24845</xdr:rowOff>
    </xdr:from>
    <xdr:ext cx="23812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41181</xdr:colOff>
      <xdr:row>14</xdr:row>
      <xdr:rowOff>24845</xdr:rowOff>
    </xdr:from>
    <xdr:ext cx="23812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38539</xdr:colOff>
      <xdr:row>63</xdr:row>
      <xdr:rowOff>32396</xdr:rowOff>
    </xdr:from>
    <xdr:ext cx="2000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38539</xdr:colOff>
      <xdr:row>64</xdr:row>
      <xdr:rowOff>32396</xdr:rowOff>
    </xdr:from>
    <xdr:ext cx="2000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38539</xdr:colOff>
      <xdr:row>65</xdr:row>
      <xdr:rowOff>32396</xdr:rowOff>
    </xdr:from>
    <xdr:ext cx="2000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38539</xdr:colOff>
      <xdr:row>66</xdr:row>
      <xdr:rowOff>32396</xdr:rowOff>
    </xdr:from>
    <xdr:ext cx="2000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38539</xdr:colOff>
      <xdr:row>67</xdr:row>
      <xdr:rowOff>32396</xdr:rowOff>
    </xdr:from>
    <xdr:ext cx="2000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41181</xdr:colOff>
      <xdr:row>12</xdr:row>
      <xdr:rowOff>24845</xdr:rowOff>
    </xdr:from>
    <xdr:ext cx="23812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41181</xdr:colOff>
      <xdr:row>13</xdr:row>
      <xdr:rowOff>24845</xdr:rowOff>
    </xdr:from>
    <xdr:ext cx="23812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41181</xdr:colOff>
      <xdr:row>14</xdr:row>
      <xdr:rowOff>24845</xdr:rowOff>
    </xdr:from>
    <xdr:ext cx="23812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38539</xdr:colOff>
      <xdr:row>63</xdr:row>
      <xdr:rowOff>32396</xdr:rowOff>
    </xdr:from>
    <xdr:ext cx="2000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38539</xdr:colOff>
      <xdr:row>64</xdr:row>
      <xdr:rowOff>32396</xdr:rowOff>
    </xdr:from>
    <xdr:ext cx="2000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38539</xdr:colOff>
      <xdr:row>65</xdr:row>
      <xdr:rowOff>32396</xdr:rowOff>
    </xdr:from>
    <xdr:ext cx="2000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38539</xdr:colOff>
      <xdr:row>66</xdr:row>
      <xdr:rowOff>32396</xdr:rowOff>
    </xdr:from>
    <xdr:ext cx="2000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38539</xdr:colOff>
      <xdr:row>67</xdr:row>
      <xdr:rowOff>32396</xdr:rowOff>
    </xdr:from>
    <xdr:ext cx="2000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41181</xdr:colOff>
      <xdr:row>12</xdr:row>
      <xdr:rowOff>24845</xdr:rowOff>
    </xdr:from>
    <xdr:ext cx="23812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41181</xdr:colOff>
      <xdr:row>13</xdr:row>
      <xdr:rowOff>24845</xdr:rowOff>
    </xdr:from>
    <xdr:ext cx="23812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41181</xdr:colOff>
      <xdr:row>14</xdr:row>
      <xdr:rowOff>24845</xdr:rowOff>
    </xdr:from>
    <xdr:ext cx="23812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38539</xdr:colOff>
      <xdr:row>63</xdr:row>
      <xdr:rowOff>32396</xdr:rowOff>
    </xdr:from>
    <xdr:ext cx="2000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38539</xdr:colOff>
      <xdr:row>64</xdr:row>
      <xdr:rowOff>32396</xdr:rowOff>
    </xdr:from>
    <xdr:ext cx="2000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38539</xdr:colOff>
      <xdr:row>65</xdr:row>
      <xdr:rowOff>32396</xdr:rowOff>
    </xdr:from>
    <xdr:ext cx="2000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38539</xdr:colOff>
      <xdr:row>66</xdr:row>
      <xdr:rowOff>32396</xdr:rowOff>
    </xdr:from>
    <xdr:ext cx="2000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38539</xdr:colOff>
      <xdr:row>67</xdr:row>
      <xdr:rowOff>32396</xdr:rowOff>
    </xdr:from>
    <xdr:ext cx="2000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41482</xdr:colOff>
      <xdr:row>12</xdr:row>
      <xdr:rowOff>24845</xdr:rowOff>
    </xdr:from>
    <xdr:ext cx="62865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41482</xdr:colOff>
      <xdr:row>13</xdr:row>
      <xdr:rowOff>24845</xdr:rowOff>
    </xdr:from>
    <xdr:ext cx="62865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41482</xdr:colOff>
      <xdr:row>14</xdr:row>
      <xdr:rowOff>24845</xdr:rowOff>
    </xdr:from>
    <xdr:ext cx="62865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39575</xdr:colOff>
      <xdr:row>63</xdr:row>
      <xdr:rowOff>32396</xdr:rowOff>
    </xdr:from>
    <xdr:ext cx="590550"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39575</xdr:colOff>
      <xdr:row>64</xdr:row>
      <xdr:rowOff>32396</xdr:rowOff>
    </xdr:from>
    <xdr:ext cx="590550"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39575</xdr:colOff>
      <xdr:row>65</xdr:row>
      <xdr:rowOff>32396</xdr:rowOff>
    </xdr:from>
    <xdr:ext cx="590550"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39575</xdr:colOff>
      <xdr:row>66</xdr:row>
      <xdr:rowOff>32396</xdr:rowOff>
    </xdr:from>
    <xdr:ext cx="590550"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39575</xdr:colOff>
      <xdr:row>67</xdr:row>
      <xdr:rowOff>32396</xdr:rowOff>
    </xdr:from>
    <xdr:ext cx="590550"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2504</xdr:colOff>
      <xdr:row>13</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6</xdr:col>
      <xdr:colOff>38539</xdr:colOff>
      <xdr:row>63</xdr:row>
      <xdr:rowOff>32396</xdr:rowOff>
    </xdr:from>
    <xdr:ext cx="2000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38539</xdr:colOff>
      <xdr:row>63</xdr:row>
      <xdr:rowOff>32396</xdr:rowOff>
    </xdr:from>
    <xdr:ext cx="2000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38539</xdr:colOff>
      <xdr:row>63</xdr:row>
      <xdr:rowOff>32396</xdr:rowOff>
    </xdr:from>
    <xdr:ext cx="2000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38539</xdr:colOff>
      <xdr:row>63</xdr:row>
      <xdr:rowOff>32396</xdr:rowOff>
    </xdr:from>
    <xdr:ext cx="2000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38539</xdr:colOff>
      <xdr:row>63</xdr:row>
      <xdr:rowOff>32396</xdr:rowOff>
    </xdr:from>
    <xdr:ext cx="2000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38539</xdr:colOff>
      <xdr:row>63</xdr:row>
      <xdr:rowOff>32396</xdr:rowOff>
    </xdr:from>
    <xdr:ext cx="2000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38539</xdr:colOff>
      <xdr:row>63</xdr:row>
      <xdr:rowOff>32396</xdr:rowOff>
    </xdr:from>
    <xdr:ext cx="2000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38539</xdr:colOff>
      <xdr:row>63</xdr:row>
      <xdr:rowOff>32396</xdr:rowOff>
    </xdr:from>
    <xdr:ext cx="2000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38539</xdr:colOff>
      <xdr:row>63</xdr:row>
      <xdr:rowOff>32396</xdr:rowOff>
    </xdr:from>
    <xdr:ext cx="2000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38539</xdr:colOff>
      <xdr:row>63</xdr:row>
      <xdr:rowOff>32396</xdr:rowOff>
    </xdr:from>
    <xdr:ext cx="2000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38539</xdr:colOff>
      <xdr:row>63</xdr:row>
      <xdr:rowOff>32396</xdr:rowOff>
    </xdr:from>
    <xdr:ext cx="2000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38539</xdr:colOff>
      <xdr:row>63</xdr:row>
      <xdr:rowOff>32396</xdr:rowOff>
    </xdr:from>
    <xdr:ext cx="2000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38539</xdr:colOff>
      <xdr:row>63</xdr:row>
      <xdr:rowOff>32396</xdr:rowOff>
    </xdr:from>
    <xdr:ext cx="2000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38539</xdr:colOff>
      <xdr:row>63</xdr:row>
      <xdr:rowOff>32396</xdr:rowOff>
    </xdr:from>
    <xdr:ext cx="2000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38539</xdr:colOff>
      <xdr:row>63</xdr:row>
      <xdr:rowOff>32396</xdr:rowOff>
    </xdr:from>
    <xdr:ext cx="2000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38539</xdr:colOff>
      <xdr:row>63</xdr:row>
      <xdr:rowOff>32396</xdr:rowOff>
    </xdr:from>
    <xdr:ext cx="20002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38539</xdr:colOff>
      <xdr:row>63</xdr:row>
      <xdr:rowOff>32396</xdr:rowOff>
    </xdr:from>
    <xdr:ext cx="2000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38539</xdr:colOff>
      <xdr:row>63</xdr:row>
      <xdr:rowOff>32396</xdr:rowOff>
    </xdr:from>
    <xdr:ext cx="2000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38539</xdr:colOff>
      <xdr:row>63</xdr:row>
      <xdr:rowOff>32396</xdr:rowOff>
    </xdr:from>
    <xdr:ext cx="2000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25</xdr:col>
      <xdr:colOff>38539</xdr:colOff>
      <xdr:row>63</xdr:row>
      <xdr:rowOff>32396</xdr:rowOff>
    </xdr:from>
    <xdr:ext cx="20002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26</xdr:col>
      <xdr:colOff>38539</xdr:colOff>
      <xdr:row>63</xdr:row>
      <xdr:rowOff>32396</xdr:rowOff>
    </xdr:from>
    <xdr:ext cx="2000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38539</xdr:colOff>
      <xdr:row>63</xdr:row>
      <xdr:rowOff>32396</xdr:rowOff>
    </xdr:from>
    <xdr:ext cx="2000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38539</xdr:colOff>
      <xdr:row>63</xdr:row>
      <xdr:rowOff>32396</xdr:rowOff>
    </xdr:from>
    <xdr:ext cx="2000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41</xdr:col>
      <xdr:colOff>39575</xdr:colOff>
      <xdr:row>63</xdr:row>
      <xdr:rowOff>32396</xdr:rowOff>
    </xdr:from>
    <xdr:ext cx="590550"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6</xdr:col>
      <xdr:colOff>38539</xdr:colOff>
      <xdr:row>64</xdr:row>
      <xdr:rowOff>32396</xdr:rowOff>
    </xdr:from>
    <xdr:ext cx="2000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38539</xdr:colOff>
      <xdr:row>64</xdr:row>
      <xdr:rowOff>32396</xdr:rowOff>
    </xdr:from>
    <xdr:ext cx="2000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38539</xdr:colOff>
      <xdr:row>64</xdr:row>
      <xdr:rowOff>32396</xdr:rowOff>
    </xdr:from>
    <xdr:ext cx="2000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38539</xdr:colOff>
      <xdr:row>64</xdr:row>
      <xdr:rowOff>32396</xdr:rowOff>
    </xdr:from>
    <xdr:ext cx="2000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38539</xdr:colOff>
      <xdr:row>64</xdr:row>
      <xdr:rowOff>32396</xdr:rowOff>
    </xdr:from>
    <xdr:ext cx="2000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38539</xdr:colOff>
      <xdr:row>64</xdr:row>
      <xdr:rowOff>32396</xdr:rowOff>
    </xdr:from>
    <xdr:ext cx="2000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38539</xdr:colOff>
      <xdr:row>64</xdr:row>
      <xdr:rowOff>32396</xdr:rowOff>
    </xdr:from>
    <xdr:ext cx="2000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38539</xdr:colOff>
      <xdr:row>64</xdr:row>
      <xdr:rowOff>32396</xdr:rowOff>
    </xdr:from>
    <xdr:ext cx="2000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38539</xdr:colOff>
      <xdr:row>64</xdr:row>
      <xdr:rowOff>32396</xdr:rowOff>
    </xdr:from>
    <xdr:ext cx="2000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38539</xdr:colOff>
      <xdr:row>64</xdr:row>
      <xdr:rowOff>32396</xdr:rowOff>
    </xdr:from>
    <xdr:ext cx="2000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38539</xdr:colOff>
      <xdr:row>64</xdr:row>
      <xdr:rowOff>32396</xdr:rowOff>
    </xdr:from>
    <xdr:ext cx="2000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38539</xdr:colOff>
      <xdr:row>64</xdr:row>
      <xdr:rowOff>32396</xdr:rowOff>
    </xdr:from>
    <xdr:ext cx="2000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38539</xdr:colOff>
      <xdr:row>64</xdr:row>
      <xdr:rowOff>32396</xdr:rowOff>
    </xdr:from>
    <xdr:ext cx="2000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38539</xdr:colOff>
      <xdr:row>64</xdr:row>
      <xdr:rowOff>32396</xdr:rowOff>
    </xdr:from>
    <xdr:ext cx="20002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38539</xdr:colOff>
      <xdr:row>64</xdr:row>
      <xdr:rowOff>32396</xdr:rowOff>
    </xdr:from>
    <xdr:ext cx="2000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38539</xdr:colOff>
      <xdr:row>64</xdr:row>
      <xdr:rowOff>32396</xdr:rowOff>
    </xdr:from>
    <xdr:ext cx="2000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38539</xdr:colOff>
      <xdr:row>64</xdr:row>
      <xdr:rowOff>32396</xdr:rowOff>
    </xdr:from>
    <xdr:ext cx="2000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38539</xdr:colOff>
      <xdr:row>64</xdr:row>
      <xdr:rowOff>32396</xdr:rowOff>
    </xdr:from>
    <xdr:ext cx="2000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38539</xdr:colOff>
      <xdr:row>64</xdr:row>
      <xdr:rowOff>32396</xdr:rowOff>
    </xdr:from>
    <xdr:ext cx="2000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25</xdr:col>
      <xdr:colOff>38539</xdr:colOff>
      <xdr:row>64</xdr:row>
      <xdr:rowOff>32396</xdr:rowOff>
    </xdr:from>
    <xdr:ext cx="2000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26</xdr:col>
      <xdr:colOff>38539</xdr:colOff>
      <xdr:row>64</xdr:row>
      <xdr:rowOff>32396</xdr:rowOff>
    </xdr:from>
    <xdr:ext cx="2000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27</xdr:col>
      <xdr:colOff>38539</xdr:colOff>
      <xdr:row>64</xdr:row>
      <xdr:rowOff>32396</xdr:rowOff>
    </xdr:from>
    <xdr:ext cx="2000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38539</xdr:colOff>
      <xdr:row>64</xdr:row>
      <xdr:rowOff>32396</xdr:rowOff>
    </xdr:from>
    <xdr:ext cx="2000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41</xdr:col>
      <xdr:colOff>39575</xdr:colOff>
      <xdr:row>64</xdr:row>
      <xdr:rowOff>32396</xdr:rowOff>
    </xdr:from>
    <xdr:ext cx="590550"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6</xdr:col>
      <xdr:colOff>38539</xdr:colOff>
      <xdr:row>65</xdr:row>
      <xdr:rowOff>32396</xdr:rowOff>
    </xdr:from>
    <xdr:ext cx="2000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38539</xdr:colOff>
      <xdr:row>65</xdr:row>
      <xdr:rowOff>32396</xdr:rowOff>
    </xdr:from>
    <xdr:ext cx="2000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38539</xdr:colOff>
      <xdr:row>65</xdr:row>
      <xdr:rowOff>32396</xdr:rowOff>
    </xdr:from>
    <xdr:ext cx="2000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38539</xdr:colOff>
      <xdr:row>65</xdr:row>
      <xdr:rowOff>32396</xdr:rowOff>
    </xdr:from>
    <xdr:ext cx="2000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38539</xdr:colOff>
      <xdr:row>65</xdr:row>
      <xdr:rowOff>32396</xdr:rowOff>
    </xdr:from>
    <xdr:ext cx="2000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38539</xdr:colOff>
      <xdr:row>65</xdr:row>
      <xdr:rowOff>32396</xdr:rowOff>
    </xdr:from>
    <xdr:ext cx="2000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38539</xdr:colOff>
      <xdr:row>65</xdr:row>
      <xdr:rowOff>32396</xdr:rowOff>
    </xdr:from>
    <xdr:ext cx="2000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38539</xdr:colOff>
      <xdr:row>65</xdr:row>
      <xdr:rowOff>32396</xdr:rowOff>
    </xdr:from>
    <xdr:ext cx="2000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38539</xdr:colOff>
      <xdr:row>65</xdr:row>
      <xdr:rowOff>32396</xdr:rowOff>
    </xdr:from>
    <xdr:ext cx="2000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38539</xdr:colOff>
      <xdr:row>65</xdr:row>
      <xdr:rowOff>32396</xdr:rowOff>
    </xdr:from>
    <xdr:ext cx="2000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38539</xdr:colOff>
      <xdr:row>65</xdr:row>
      <xdr:rowOff>32396</xdr:rowOff>
    </xdr:from>
    <xdr:ext cx="2000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38539</xdr:colOff>
      <xdr:row>65</xdr:row>
      <xdr:rowOff>32396</xdr:rowOff>
    </xdr:from>
    <xdr:ext cx="20002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38539</xdr:colOff>
      <xdr:row>65</xdr:row>
      <xdr:rowOff>32396</xdr:rowOff>
    </xdr:from>
    <xdr:ext cx="2000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38539</xdr:colOff>
      <xdr:row>65</xdr:row>
      <xdr:rowOff>32396</xdr:rowOff>
    </xdr:from>
    <xdr:ext cx="2000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38539</xdr:colOff>
      <xdr:row>65</xdr:row>
      <xdr:rowOff>32396</xdr:rowOff>
    </xdr:from>
    <xdr:ext cx="2000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38539</xdr:colOff>
      <xdr:row>65</xdr:row>
      <xdr:rowOff>32396</xdr:rowOff>
    </xdr:from>
    <xdr:ext cx="2000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38539</xdr:colOff>
      <xdr:row>65</xdr:row>
      <xdr:rowOff>32396</xdr:rowOff>
    </xdr:from>
    <xdr:ext cx="2000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38539</xdr:colOff>
      <xdr:row>65</xdr:row>
      <xdr:rowOff>32396</xdr:rowOff>
    </xdr:from>
    <xdr:ext cx="2000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38539</xdr:colOff>
      <xdr:row>65</xdr:row>
      <xdr:rowOff>32396</xdr:rowOff>
    </xdr:from>
    <xdr:ext cx="2000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25</xdr:col>
      <xdr:colOff>38539</xdr:colOff>
      <xdr:row>65</xdr:row>
      <xdr:rowOff>32396</xdr:rowOff>
    </xdr:from>
    <xdr:ext cx="2000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26</xdr:col>
      <xdr:colOff>38539</xdr:colOff>
      <xdr:row>65</xdr:row>
      <xdr:rowOff>32396</xdr:rowOff>
    </xdr:from>
    <xdr:ext cx="2000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38539</xdr:colOff>
      <xdr:row>65</xdr:row>
      <xdr:rowOff>32396</xdr:rowOff>
    </xdr:from>
    <xdr:ext cx="2000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38539</xdr:colOff>
      <xdr:row>65</xdr:row>
      <xdr:rowOff>32396</xdr:rowOff>
    </xdr:from>
    <xdr:ext cx="2000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41</xdr:col>
      <xdr:colOff>39575</xdr:colOff>
      <xdr:row>65</xdr:row>
      <xdr:rowOff>32396</xdr:rowOff>
    </xdr:from>
    <xdr:ext cx="590550"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6</xdr:col>
      <xdr:colOff>38539</xdr:colOff>
      <xdr:row>66</xdr:row>
      <xdr:rowOff>32396</xdr:rowOff>
    </xdr:from>
    <xdr:ext cx="2000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38539</xdr:colOff>
      <xdr:row>66</xdr:row>
      <xdr:rowOff>32396</xdr:rowOff>
    </xdr:from>
    <xdr:ext cx="2000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38539</xdr:colOff>
      <xdr:row>66</xdr:row>
      <xdr:rowOff>32396</xdr:rowOff>
    </xdr:from>
    <xdr:ext cx="2000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38539</xdr:colOff>
      <xdr:row>66</xdr:row>
      <xdr:rowOff>32396</xdr:rowOff>
    </xdr:from>
    <xdr:ext cx="2000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38539</xdr:colOff>
      <xdr:row>66</xdr:row>
      <xdr:rowOff>32396</xdr:rowOff>
    </xdr:from>
    <xdr:ext cx="2000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38539</xdr:colOff>
      <xdr:row>66</xdr:row>
      <xdr:rowOff>32396</xdr:rowOff>
    </xdr:from>
    <xdr:ext cx="2000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38539</xdr:colOff>
      <xdr:row>66</xdr:row>
      <xdr:rowOff>32396</xdr:rowOff>
    </xdr:from>
    <xdr:ext cx="2000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38539</xdr:colOff>
      <xdr:row>66</xdr:row>
      <xdr:rowOff>32396</xdr:rowOff>
    </xdr:from>
    <xdr:ext cx="2000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38539</xdr:colOff>
      <xdr:row>66</xdr:row>
      <xdr:rowOff>32396</xdr:rowOff>
    </xdr:from>
    <xdr:ext cx="2000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38539</xdr:colOff>
      <xdr:row>66</xdr:row>
      <xdr:rowOff>32396</xdr:rowOff>
    </xdr:from>
    <xdr:ext cx="20002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38539</xdr:colOff>
      <xdr:row>66</xdr:row>
      <xdr:rowOff>32396</xdr:rowOff>
    </xdr:from>
    <xdr:ext cx="2000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38539</xdr:colOff>
      <xdr:row>66</xdr:row>
      <xdr:rowOff>32396</xdr:rowOff>
    </xdr:from>
    <xdr:ext cx="2000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38539</xdr:colOff>
      <xdr:row>66</xdr:row>
      <xdr:rowOff>32396</xdr:rowOff>
    </xdr:from>
    <xdr:ext cx="2000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38539</xdr:colOff>
      <xdr:row>66</xdr:row>
      <xdr:rowOff>32396</xdr:rowOff>
    </xdr:from>
    <xdr:ext cx="2000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38539</xdr:colOff>
      <xdr:row>66</xdr:row>
      <xdr:rowOff>32396</xdr:rowOff>
    </xdr:from>
    <xdr:ext cx="2000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38539</xdr:colOff>
      <xdr:row>66</xdr:row>
      <xdr:rowOff>32396</xdr:rowOff>
    </xdr:from>
    <xdr:ext cx="2000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38539</xdr:colOff>
      <xdr:row>66</xdr:row>
      <xdr:rowOff>32396</xdr:rowOff>
    </xdr:from>
    <xdr:ext cx="2000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38539</xdr:colOff>
      <xdr:row>66</xdr:row>
      <xdr:rowOff>32396</xdr:rowOff>
    </xdr:from>
    <xdr:ext cx="2000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38539</xdr:colOff>
      <xdr:row>66</xdr:row>
      <xdr:rowOff>32396</xdr:rowOff>
    </xdr:from>
    <xdr:ext cx="2000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38539</xdr:colOff>
      <xdr:row>66</xdr:row>
      <xdr:rowOff>32396</xdr:rowOff>
    </xdr:from>
    <xdr:ext cx="2000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38539</xdr:colOff>
      <xdr:row>66</xdr:row>
      <xdr:rowOff>32396</xdr:rowOff>
    </xdr:from>
    <xdr:ext cx="2000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38539</xdr:colOff>
      <xdr:row>66</xdr:row>
      <xdr:rowOff>32396</xdr:rowOff>
    </xdr:from>
    <xdr:ext cx="2000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38539</xdr:colOff>
      <xdr:row>66</xdr:row>
      <xdr:rowOff>32396</xdr:rowOff>
    </xdr:from>
    <xdr:ext cx="2000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41</xdr:col>
      <xdr:colOff>39575</xdr:colOff>
      <xdr:row>66</xdr:row>
      <xdr:rowOff>32396</xdr:rowOff>
    </xdr:from>
    <xdr:ext cx="590550"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6</xdr:col>
      <xdr:colOff>38539</xdr:colOff>
      <xdr:row>67</xdr:row>
      <xdr:rowOff>32396</xdr:rowOff>
    </xdr:from>
    <xdr:ext cx="2000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38539</xdr:colOff>
      <xdr:row>67</xdr:row>
      <xdr:rowOff>32396</xdr:rowOff>
    </xdr:from>
    <xdr:ext cx="2000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38539</xdr:colOff>
      <xdr:row>67</xdr:row>
      <xdr:rowOff>32396</xdr:rowOff>
    </xdr:from>
    <xdr:ext cx="2000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38539</xdr:colOff>
      <xdr:row>67</xdr:row>
      <xdr:rowOff>32396</xdr:rowOff>
    </xdr:from>
    <xdr:ext cx="2000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38539</xdr:colOff>
      <xdr:row>67</xdr:row>
      <xdr:rowOff>32396</xdr:rowOff>
    </xdr:from>
    <xdr:ext cx="2000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38539</xdr:colOff>
      <xdr:row>67</xdr:row>
      <xdr:rowOff>32396</xdr:rowOff>
    </xdr:from>
    <xdr:ext cx="2000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38539</xdr:colOff>
      <xdr:row>67</xdr:row>
      <xdr:rowOff>32396</xdr:rowOff>
    </xdr:from>
    <xdr:ext cx="2000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38539</xdr:colOff>
      <xdr:row>67</xdr:row>
      <xdr:rowOff>32396</xdr:rowOff>
    </xdr:from>
    <xdr:ext cx="20002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38539</xdr:colOff>
      <xdr:row>67</xdr:row>
      <xdr:rowOff>32396</xdr:rowOff>
    </xdr:from>
    <xdr:ext cx="2000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38539</xdr:colOff>
      <xdr:row>67</xdr:row>
      <xdr:rowOff>32396</xdr:rowOff>
    </xdr:from>
    <xdr:ext cx="2000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38539</xdr:colOff>
      <xdr:row>67</xdr:row>
      <xdr:rowOff>32396</xdr:rowOff>
    </xdr:from>
    <xdr:ext cx="2000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38539</xdr:colOff>
      <xdr:row>67</xdr:row>
      <xdr:rowOff>32396</xdr:rowOff>
    </xdr:from>
    <xdr:ext cx="2000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38539</xdr:colOff>
      <xdr:row>67</xdr:row>
      <xdr:rowOff>32396</xdr:rowOff>
    </xdr:from>
    <xdr:ext cx="2000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38539</xdr:colOff>
      <xdr:row>67</xdr:row>
      <xdr:rowOff>32396</xdr:rowOff>
    </xdr:from>
    <xdr:ext cx="2000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38539</xdr:colOff>
      <xdr:row>67</xdr:row>
      <xdr:rowOff>32396</xdr:rowOff>
    </xdr:from>
    <xdr:ext cx="2000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38539</xdr:colOff>
      <xdr:row>67</xdr:row>
      <xdr:rowOff>32396</xdr:rowOff>
    </xdr:from>
    <xdr:ext cx="2000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38539</xdr:colOff>
      <xdr:row>67</xdr:row>
      <xdr:rowOff>32396</xdr:rowOff>
    </xdr:from>
    <xdr:ext cx="2000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23</xdr:col>
      <xdr:colOff>38539</xdr:colOff>
      <xdr:row>67</xdr:row>
      <xdr:rowOff>32396</xdr:rowOff>
    </xdr:from>
    <xdr:ext cx="20002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38539</xdr:colOff>
      <xdr:row>67</xdr:row>
      <xdr:rowOff>32396</xdr:rowOff>
    </xdr:from>
    <xdr:ext cx="2000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38539</xdr:colOff>
      <xdr:row>67</xdr:row>
      <xdr:rowOff>32396</xdr:rowOff>
    </xdr:from>
    <xdr:ext cx="2000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38539</xdr:colOff>
      <xdr:row>67</xdr:row>
      <xdr:rowOff>32396</xdr:rowOff>
    </xdr:from>
    <xdr:ext cx="2000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38539</xdr:colOff>
      <xdr:row>67</xdr:row>
      <xdr:rowOff>32396</xdr:rowOff>
    </xdr:from>
    <xdr:ext cx="2000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38539</xdr:colOff>
      <xdr:row>67</xdr:row>
      <xdr:rowOff>32396</xdr:rowOff>
    </xdr:from>
    <xdr:ext cx="2000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41</xdr:col>
      <xdr:colOff>39575</xdr:colOff>
      <xdr:row>67</xdr:row>
      <xdr:rowOff>32396</xdr:rowOff>
    </xdr:from>
    <xdr:ext cx="590550"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41181</xdr:colOff>
      <xdr:row>12</xdr:row>
      <xdr:rowOff>24845</xdr:rowOff>
    </xdr:from>
    <xdr:ext cx="23812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41181</xdr:colOff>
      <xdr:row>13</xdr:row>
      <xdr:rowOff>24845</xdr:rowOff>
    </xdr:from>
    <xdr:ext cx="23812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41181</xdr:colOff>
      <xdr:row>14</xdr:row>
      <xdr:rowOff>24845</xdr:rowOff>
    </xdr:from>
    <xdr:ext cx="23812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38539</xdr:colOff>
      <xdr:row>63</xdr:row>
      <xdr:rowOff>32396</xdr:rowOff>
    </xdr:from>
    <xdr:ext cx="2000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38539</xdr:colOff>
      <xdr:row>64</xdr:row>
      <xdr:rowOff>32396</xdr:rowOff>
    </xdr:from>
    <xdr:ext cx="2000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38539</xdr:colOff>
      <xdr:row>65</xdr:row>
      <xdr:rowOff>32396</xdr:rowOff>
    </xdr:from>
    <xdr:ext cx="2000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38539</xdr:colOff>
      <xdr:row>66</xdr:row>
      <xdr:rowOff>32396</xdr:rowOff>
    </xdr:from>
    <xdr:ext cx="2000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38539</xdr:colOff>
      <xdr:row>67</xdr:row>
      <xdr:rowOff>32396</xdr:rowOff>
    </xdr:from>
    <xdr:ext cx="2000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41181</xdr:colOff>
      <xdr:row>12</xdr:row>
      <xdr:rowOff>24845</xdr:rowOff>
    </xdr:from>
    <xdr:ext cx="23812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41181</xdr:colOff>
      <xdr:row>13</xdr:row>
      <xdr:rowOff>24845</xdr:rowOff>
    </xdr:from>
    <xdr:ext cx="23812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41181</xdr:colOff>
      <xdr:row>14</xdr:row>
      <xdr:rowOff>24845</xdr:rowOff>
    </xdr:from>
    <xdr:ext cx="23812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38539</xdr:colOff>
      <xdr:row>63</xdr:row>
      <xdr:rowOff>32396</xdr:rowOff>
    </xdr:from>
    <xdr:ext cx="2000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38539</xdr:colOff>
      <xdr:row>64</xdr:row>
      <xdr:rowOff>32396</xdr:rowOff>
    </xdr:from>
    <xdr:ext cx="2000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38539</xdr:colOff>
      <xdr:row>65</xdr:row>
      <xdr:rowOff>32396</xdr:rowOff>
    </xdr:from>
    <xdr:ext cx="2000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38539</xdr:colOff>
      <xdr:row>66</xdr:row>
      <xdr:rowOff>32396</xdr:rowOff>
    </xdr:from>
    <xdr:ext cx="2000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38539</xdr:colOff>
      <xdr:row>67</xdr:row>
      <xdr:rowOff>32396</xdr:rowOff>
    </xdr:from>
    <xdr:ext cx="2000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41181</xdr:colOff>
      <xdr:row>12</xdr:row>
      <xdr:rowOff>24845</xdr:rowOff>
    </xdr:from>
    <xdr:ext cx="23812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41181</xdr:colOff>
      <xdr:row>13</xdr:row>
      <xdr:rowOff>24845</xdr:rowOff>
    </xdr:from>
    <xdr:ext cx="23812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41181</xdr:colOff>
      <xdr:row>14</xdr:row>
      <xdr:rowOff>24845</xdr:rowOff>
    </xdr:from>
    <xdr:ext cx="23812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38539</xdr:colOff>
      <xdr:row>63</xdr:row>
      <xdr:rowOff>32396</xdr:rowOff>
    </xdr:from>
    <xdr:ext cx="2000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38539</xdr:colOff>
      <xdr:row>64</xdr:row>
      <xdr:rowOff>32396</xdr:rowOff>
    </xdr:from>
    <xdr:ext cx="2000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38539</xdr:colOff>
      <xdr:row>65</xdr:row>
      <xdr:rowOff>32396</xdr:rowOff>
    </xdr:from>
    <xdr:ext cx="2000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38539</xdr:colOff>
      <xdr:row>66</xdr:row>
      <xdr:rowOff>32396</xdr:rowOff>
    </xdr:from>
    <xdr:ext cx="2000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38539</xdr:colOff>
      <xdr:row>67</xdr:row>
      <xdr:rowOff>32396</xdr:rowOff>
    </xdr:from>
    <xdr:ext cx="2000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41181</xdr:colOff>
      <xdr:row>12</xdr:row>
      <xdr:rowOff>24845</xdr:rowOff>
    </xdr:from>
    <xdr:ext cx="23812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41181</xdr:colOff>
      <xdr:row>13</xdr:row>
      <xdr:rowOff>24845</xdr:rowOff>
    </xdr:from>
    <xdr:ext cx="23812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41181</xdr:colOff>
      <xdr:row>14</xdr:row>
      <xdr:rowOff>24845</xdr:rowOff>
    </xdr:from>
    <xdr:ext cx="23812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38539</xdr:colOff>
      <xdr:row>63</xdr:row>
      <xdr:rowOff>32396</xdr:rowOff>
    </xdr:from>
    <xdr:ext cx="2000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38539</xdr:colOff>
      <xdr:row>64</xdr:row>
      <xdr:rowOff>32396</xdr:rowOff>
    </xdr:from>
    <xdr:ext cx="2000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38539</xdr:colOff>
      <xdr:row>65</xdr:row>
      <xdr:rowOff>32396</xdr:rowOff>
    </xdr:from>
    <xdr:ext cx="2000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38539</xdr:colOff>
      <xdr:row>66</xdr:row>
      <xdr:rowOff>32396</xdr:rowOff>
    </xdr:from>
    <xdr:ext cx="2000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38539</xdr:colOff>
      <xdr:row>67</xdr:row>
      <xdr:rowOff>32396</xdr:rowOff>
    </xdr:from>
    <xdr:ext cx="2000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41181</xdr:colOff>
      <xdr:row>12</xdr:row>
      <xdr:rowOff>24845</xdr:rowOff>
    </xdr:from>
    <xdr:ext cx="23812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41181</xdr:colOff>
      <xdr:row>13</xdr:row>
      <xdr:rowOff>24845</xdr:rowOff>
    </xdr:from>
    <xdr:ext cx="23812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41181</xdr:colOff>
      <xdr:row>14</xdr:row>
      <xdr:rowOff>24845</xdr:rowOff>
    </xdr:from>
    <xdr:ext cx="23812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38539</xdr:colOff>
      <xdr:row>63</xdr:row>
      <xdr:rowOff>32396</xdr:rowOff>
    </xdr:from>
    <xdr:ext cx="2000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38539</xdr:colOff>
      <xdr:row>64</xdr:row>
      <xdr:rowOff>32396</xdr:rowOff>
    </xdr:from>
    <xdr:ext cx="2000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38539</xdr:colOff>
      <xdr:row>65</xdr:row>
      <xdr:rowOff>32396</xdr:rowOff>
    </xdr:from>
    <xdr:ext cx="2000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38539</xdr:colOff>
      <xdr:row>66</xdr:row>
      <xdr:rowOff>32396</xdr:rowOff>
    </xdr:from>
    <xdr:ext cx="2000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38539</xdr:colOff>
      <xdr:row>67</xdr:row>
      <xdr:rowOff>32396</xdr:rowOff>
    </xdr:from>
    <xdr:ext cx="2000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41181</xdr:colOff>
      <xdr:row>12</xdr:row>
      <xdr:rowOff>24845</xdr:rowOff>
    </xdr:from>
    <xdr:ext cx="23812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41181</xdr:colOff>
      <xdr:row>13</xdr:row>
      <xdr:rowOff>24845</xdr:rowOff>
    </xdr:from>
    <xdr:ext cx="23812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41181</xdr:colOff>
      <xdr:row>14</xdr:row>
      <xdr:rowOff>24845</xdr:rowOff>
    </xdr:from>
    <xdr:ext cx="23812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38539</xdr:colOff>
      <xdr:row>63</xdr:row>
      <xdr:rowOff>32396</xdr:rowOff>
    </xdr:from>
    <xdr:ext cx="2000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38539</xdr:colOff>
      <xdr:row>64</xdr:row>
      <xdr:rowOff>32396</xdr:rowOff>
    </xdr:from>
    <xdr:ext cx="2000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38539</xdr:colOff>
      <xdr:row>65</xdr:row>
      <xdr:rowOff>32396</xdr:rowOff>
    </xdr:from>
    <xdr:ext cx="2000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38539</xdr:colOff>
      <xdr:row>66</xdr:row>
      <xdr:rowOff>32396</xdr:rowOff>
    </xdr:from>
    <xdr:ext cx="2000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38539</xdr:colOff>
      <xdr:row>67</xdr:row>
      <xdr:rowOff>32396</xdr:rowOff>
    </xdr:from>
    <xdr:ext cx="2000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41181</xdr:colOff>
      <xdr:row>12</xdr:row>
      <xdr:rowOff>24845</xdr:rowOff>
    </xdr:from>
    <xdr:ext cx="23812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41181</xdr:colOff>
      <xdr:row>13</xdr:row>
      <xdr:rowOff>24845</xdr:rowOff>
    </xdr:from>
    <xdr:ext cx="23812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41181</xdr:colOff>
      <xdr:row>14</xdr:row>
      <xdr:rowOff>24845</xdr:rowOff>
    </xdr:from>
    <xdr:ext cx="23812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38539</xdr:colOff>
      <xdr:row>63</xdr:row>
      <xdr:rowOff>32396</xdr:rowOff>
    </xdr:from>
    <xdr:ext cx="2000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38539</xdr:colOff>
      <xdr:row>64</xdr:row>
      <xdr:rowOff>32396</xdr:rowOff>
    </xdr:from>
    <xdr:ext cx="2000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38539</xdr:colOff>
      <xdr:row>65</xdr:row>
      <xdr:rowOff>32396</xdr:rowOff>
    </xdr:from>
    <xdr:ext cx="2000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38539</xdr:colOff>
      <xdr:row>66</xdr:row>
      <xdr:rowOff>32396</xdr:rowOff>
    </xdr:from>
    <xdr:ext cx="2000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38539</xdr:colOff>
      <xdr:row>67</xdr:row>
      <xdr:rowOff>32396</xdr:rowOff>
    </xdr:from>
    <xdr:ext cx="2000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41181</xdr:colOff>
      <xdr:row>12</xdr:row>
      <xdr:rowOff>24845</xdr:rowOff>
    </xdr:from>
    <xdr:ext cx="23812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41181</xdr:colOff>
      <xdr:row>13</xdr:row>
      <xdr:rowOff>24845</xdr:rowOff>
    </xdr:from>
    <xdr:ext cx="23812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41181</xdr:colOff>
      <xdr:row>14</xdr:row>
      <xdr:rowOff>24845</xdr:rowOff>
    </xdr:from>
    <xdr:ext cx="23812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38539</xdr:colOff>
      <xdr:row>63</xdr:row>
      <xdr:rowOff>32396</xdr:rowOff>
    </xdr:from>
    <xdr:ext cx="2000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38539</xdr:colOff>
      <xdr:row>64</xdr:row>
      <xdr:rowOff>32396</xdr:rowOff>
    </xdr:from>
    <xdr:ext cx="2000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38539</xdr:colOff>
      <xdr:row>65</xdr:row>
      <xdr:rowOff>32396</xdr:rowOff>
    </xdr:from>
    <xdr:ext cx="2000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38539</xdr:colOff>
      <xdr:row>66</xdr:row>
      <xdr:rowOff>32396</xdr:rowOff>
    </xdr:from>
    <xdr:ext cx="2000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38539</xdr:colOff>
      <xdr:row>67</xdr:row>
      <xdr:rowOff>32396</xdr:rowOff>
    </xdr:from>
    <xdr:ext cx="2000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41181</xdr:colOff>
      <xdr:row>12</xdr:row>
      <xdr:rowOff>24845</xdr:rowOff>
    </xdr:from>
    <xdr:ext cx="23812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41181</xdr:colOff>
      <xdr:row>13</xdr:row>
      <xdr:rowOff>24845</xdr:rowOff>
    </xdr:from>
    <xdr:ext cx="23812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41181</xdr:colOff>
      <xdr:row>14</xdr:row>
      <xdr:rowOff>24845</xdr:rowOff>
    </xdr:from>
    <xdr:ext cx="23812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38539</xdr:colOff>
      <xdr:row>63</xdr:row>
      <xdr:rowOff>32396</xdr:rowOff>
    </xdr:from>
    <xdr:ext cx="2000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38539</xdr:colOff>
      <xdr:row>64</xdr:row>
      <xdr:rowOff>32396</xdr:rowOff>
    </xdr:from>
    <xdr:ext cx="2000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38539</xdr:colOff>
      <xdr:row>65</xdr:row>
      <xdr:rowOff>32396</xdr:rowOff>
    </xdr:from>
    <xdr:ext cx="2000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38539</xdr:colOff>
      <xdr:row>66</xdr:row>
      <xdr:rowOff>32396</xdr:rowOff>
    </xdr:from>
    <xdr:ext cx="2000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38539</xdr:colOff>
      <xdr:row>67</xdr:row>
      <xdr:rowOff>32396</xdr:rowOff>
    </xdr:from>
    <xdr:ext cx="2000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41181</xdr:colOff>
      <xdr:row>12</xdr:row>
      <xdr:rowOff>24845</xdr:rowOff>
    </xdr:from>
    <xdr:ext cx="23812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41181</xdr:colOff>
      <xdr:row>13</xdr:row>
      <xdr:rowOff>24845</xdr:rowOff>
    </xdr:from>
    <xdr:ext cx="23812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41181</xdr:colOff>
      <xdr:row>14</xdr:row>
      <xdr:rowOff>24845</xdr:rowOff>
    </xdr:from>
    <xdr:ext cx="23812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38539</xdr:colOff>
      <xdr:row>63</xdr:row>
      <xdr:rowOff>32396</xdr:rowOff>
    </xdr:from>
    <xdr:ext cx="2000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38539</xdr:colOff>
      <xdr:row>64</xdr:row>
      <xdr:rowOff>32396</xdr:rowOff>
    </xdr:from>
    <xdr:ext cx="2000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38539</xdr:colOff>
      <xdr:row>65</xdr:row>
      <xdr:rowOff>32396</xdr:rowOff>
    </xdr:from>
    <xdr:ext cx="2000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38539</xdr:colOff>
      <xdr:row>66</xdr:row>
      <xdr:rowOff>32396</xdr:rowOff>
    </xdr:from>
    <xdr:ext cx="2000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38539</xdr:colOff>
      <xdr:row>67</xdr:row>
      <xdr:rowOff>32396</xdr:rowOff>
    </xdr:from>
    <xdr:ext cx="2000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41181</xdr:colOff>
      <xdr:row>12</xdr:row>
      <xdr:rowOff>24845</xdr:rowOff>
    </xdr:from>
    <xdr:ext cx="23812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41181</xdr:colOff>
      <xdr:row>13</xdr:row>
      <xdr:rowOff>24845</xdr:rowOff>
    </xdr:from>
    <xdr:ext cx="23812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41181</xdr:colOff>
      <xdr:row>14</xdr:row>
      <xdr:rowOff>24845</xdr:rowOff>
    </xdr:from>
    <xdr:ext cx="23812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38539</xdr:colOff>
      <xdr:row>63</xdr:row>
      <xdr:rowOff>32396</xdr:rowOff>
    </xdr:from>
    <xdr:ext cx="2000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38539</xdr:colOff>
      <xdr:row>64</xdr:row>
      <xdr:rowOff>32396</xdr:rowOff>
    </xdr:from>
    <xdr:ext cx="2000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38539</xdr:colOff>
      <xdr:row>65</xdr:row>
      <xdr:rowOff>32396</xdr:rowOff>
    </xdr:from>
    <xdr:ext cx="2000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38539</xdr:colOff>
      <xdr:row>66</xdr:row>
      <xdr:rowOff>32396</xdr:rowOff>
    </xdr:from>
    <xdr:ext cx="2000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38539</xdr:colOff>
      <xdr:row>67</xdr:row>
      <xdr:rowOff>32396</xdr:rowOff>
    </xdr:from>
    <xdr:ext cx="2000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41181</xdr:colOff>
      <xdr:row>12</xdr:row>
      <xdr:rowOff>24845</xdr:rowOff>
    </xdr:from>
    <xdr:ext cx="23812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41181</xdr:colOff>
      <xdr:row>13</xdr:row>
      <xdr:rowOff>24845</xdr:rowOff>
    </xdr:from>
    <xdr:ext cx="23812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41181</xdr:colOff>
      <xdr:row>14</xdr:row>
      <xdr:rowOff>24845</xdr:rowOff>
    </xdr:from>
    <xdr:ext cx="23812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38539</xdr:colOff>
      <xdr:row>63</xdr:row>
      <xdr:rowOff>32396</xdr:rowOff>
    </xdr:from>
    <xdr:ext cx="2000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38539</xdr:colOff>
      <xdr:row>64</xdr:row>
      <xdr:rowOff>32396</xdr:rowOff>
    </xdr:from>
    <xdr:ext cx="2000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38539</xdr:colOff>
      <xdr:row>65</xdr:row>
      <xdr:rowOff>32396</xdr:rowOff>
    </xdr:from>
    <xdr:ext cx="2000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38539</xdr:colOff>
      <xdr:row>66</xdr:row>
      <xdr:rowOff>32396</xdr:rowOff>
    </xdr:from>
    <xdr:ext cx="2000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38539</xdr:colOff>
      <xdr:row>67</xdr:row>
      <xdr:rowOff>32396</xdr:rowOff>
    </xdr:from>
    <xdr:ext cx="2000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41181</xdr:colOff>
      <xdr:row>12</xdr:row>
      <xdr:rowOff>24845</xdr:rowOff>
    </xdr:from>
    <xdr:ext cx="23812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41181</xdr:colOff>
      <xdr:row>13</xdr:row>
      <xdr:rowOff>24845</xdr:rowOff>
    </xdr:from>
    <xdr:ext cx="23812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41181</xdr:colOff>
      <xdr:row>14</xdr:row>
      <xdr:rowOff>24845</xdr:rowOff>
    </xdr:from>
    <xdr:ext cx="23812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38539</xdr:colOff>
      <xdr:row>63</xdr:row>
      <xdr:rowOff>32396</xdr:rowOff>
    </xdr:from>
    <xdr:ext cx="2000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38539</xdr:colOff>
      <xdr:row>64</xdr:row>
      <xdr:rowOff>32396</xdr:rowOff>
    </xdr:from>
    <xdr:ext cx="2000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38539</xdr:colOff>
      <xdr:row>65</xdr:row>
      <xdr:rowOff>32396</xdr:rowOff>
    </xdr:from>
    <xdr:ext cx="2000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38539</xdr:colOff>
      <xdr:row>66</xdr:row>
      <xdr:rowOff>32396</xdr:rowOff>
    </xdr:from>
    <xdr:ext cx="2000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38539</xdr:colOff>
      <xdr:row>67</xdr:row>
      <xdr:rowOff>32396</xdr:rowOff>
    </xdr:from>
    <xdr:ext cx="2000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41181</xdr:colOff>
      <xdr:row>12</xdr:row>
      <xdr:rowOff>24845</xdr:rowOff>
    </xdr:from>
    <xdr:ext cx="23812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41181</xdr:colOff>
      <xdr:row>13</xdr:row>
      <xdr:rowOff>24845</xdr:rowOff>
    </xdr:from>
    <xdr:ext cx="23812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41181</xdr:colOff>
      <xdr:row>14</xdr:row>
      <xdr:rowOff>24845</xdr:rowOff>
    </xdr:from>
    <xdr:ext cx="23812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38539</xdr:colOff>
      <xdr:row>63</xdr:row>
      <xdr:rowOff>32396</xdr:rowOff>
    </xdr:from>
    <xdr:ext cx="2000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38539</xdr:colOff>
      <xdr:row>64</xdr:row>
      <xdr:rowOff>32396</xdr:rowOff>
    </xdr:from>
    <xdr:ext cx="2000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38539</xdr:colOff>
      <xdr:row>65</xdr:row>
      <xdr:rowOff>32396</xdr:rowOff>
    </xdr:from>
    <xdr:ext cx="2000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38539</xdr:colOff>
      <xdr:row>66</xdr:row>
      <xdr:rowOff>32396</xdr:rowOff>
    </xdr:from>
    <xdr:ext cx="2000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38539</xdr:colOff>
      <xdr:row>67</xdr:row>
      <xdr:rowOff>32396</xdr:rowOff>
    </xdr:from>
    <xdr:ext cx="2000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41181</xdr:colOff>
      <xdr:row>12</xdr:row>
      <xdr:rowOff>24845</xdr:rowOff>
    </xdr:from>
    <xdr:ext cx="23812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41181</xdr:colOff>
      <xdr:row>13</xdr:row>
      <xdr:rowOff>24845</xdr:rowOff>
    </xdr:from>
    <xdr:ext cx="23812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41181</xdr:colOff>
      <xdr:row>14</xdr:row>
      <xdr:rowOff>24845</xdr:rowOff>
    </xdr:from>
    <xdr:ext cx="23812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38539</xdr:colOff>
      <xdr:row>63</xdr:row>
      <xdr:rowOff>32396</xdr:rowOff>
    </xdr:from>
    <xdr:ext cx="2000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38539</xdr:colOff>
      <xdr:row>64</xdr:row>
      <xdr:rowOff>32396</xdr:rowOff>
    </xdr:from>
    <xdr:ext cx="2000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38539</xdr:colOff>
      <xdr:row>65</xdr:row>
      <xdr:rowOff>32396</xdr:rowOff>
    </xdr:from>
    <xdr:ext cx="2000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38539</xdr:colOff>
      <xdr:row>66</xdr:row>
      <xdr:rowOff>32396</xdr:rowOff>
    </xdr:from>
    <xdr:ext cx="2000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38539</xdr:colOff>
      <xdr:row>67</xdr:row>
      <xdr:rowOff>32396</xdr:rowOff>
    </xdr:from>
    <xdr:ext cx="2000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41181</xdr:colOff>
      <xdr:row>12</xdr:row>
      <xdr:rowOff>24845</xdr:rowOff>
    </xdr:from>
    <xdr:ext cx="23812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41181</xdr:colOff>
      <xdr:row>13</xdr:row>
      <xdr:rowOff>24845</xdr:rowOff>
    </xdr:from>
    <xdr:ext cx="23812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41181</xdr:colOff>
      <xdr:row>14</xdr:row>
      <xdr:rowOff>24845</xdr:rowOff>
    </xdr:from>
    <xdr:ext cx="23812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38539</xdr:colOff>
      <xdr:row>63</xdr:row>
      <xdr:rowOff>32396</xdr:rowOff>
    </xdr:from>
    <xdr:ext cx="2000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38539</xdr:colOff>
      <xdr:row>64</xdr:row>
      <xdr:rowOff>32396</xdr:rowOff>
    </xdr:from>
    <xdr:ext cx="2000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38539</xdr:colOff>
      <xdr:row>65</xdr:row>
      <xdr:rowOff>32396</xdr:rowOff>
    </xdr:from>
    <xdr:ext cx="2000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38539</xdr:colOff>
      <xdr:row>66</xdr:row>
      <xdr:rowOff>32396</xdr:rowOff>
    </xdr:from>
    <xdr:ext cx="2000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38539</xdr:colOff>
      <xdr:row>67</xdr:row>
      <xdr:rowOff>32396</xdr:rowOff>
    </xdr:from>
    <xdr:ext cx="2000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41181</xdr:colOff>
      <xdr:row>12</xdr:row>
      <xdr:rowOff>24845</xdr:rowOff>
    </xdr:from>
    <xdr:ext cx="23812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41181</xdr:colOff>
      <xdr:row>13</xdr:row>
      <xdr:rowOff>24845</xdr:rowOff>
    </xdr:from>
    <xdr:ext cx="23812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41181</xdr:colOff>
      <xdr:row>14</xdr:row>
      <xdr:rowOff>24845</xdr:rowOff>
    </xdr:from>
    <xdr:ext cx="23812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38539</xdr:colOff>
      <xdr:row>63</xdr:row>
      <xdr:rowOff>32396</xdr:rowOff>
    </xdr:from>
    <xdr:ext cx="2000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38539</xdr:colOff>
      <xdr:row>64</xdr:row>
      <xdr:rowOff>32396</xdr:rowOff>
    </xdr:from>
    <xdr:ext cx="2000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38539</xdr:colOff>
      <xdr:row>65</xdr:row>
      <xdr:rowOff>32396</xdr:rowOff>
    </xdr:from>
    <xdr:ext cx="2000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38539</xdr:colOff>
      <xdr:row>66</xdr:row>
      <xdr:rowOff>32396</xdr:rowOff>
    </xdr:from>
    <xdr:ext cx="2000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38539</xdr:colOff>
      <xdr:row>67</xdr:row>
      <xdr:rowOff>32396</xdr:rowOff>
    </xdr:from>
    <xdr:ext cx="2000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41181</xdr:colOff>
      <xdr:row>12</xdr:row>
      <xdr:rowOff>24845</xdr:rowOff>
    </xdr:from>
    <xdr:ext cx="23812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41181</xdr:colOff>
      <xdr:row>13</xdr:row>
      <xdr:rowOff>24845</xdr:rowOff>
    </xdr:from>
    <xdr:ext cx="23812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41181</xdr:colOff>
      <xdr:row>14</xdr:row>
      <xdr:rowOff>24845</xdr:rowOff>
    </xdr:from>
    <xdr:ext cx="23812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38539</xdr:colOff>
      <xdr:row>63</xdr:row>
      <xdr:rowOff>32396</xdr:rowOff>
    </xdr:from>
    <xdr:ext cx="2000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38539</xdr:colOff>
      <xdr:row>64</xdr:row>
      <xdr:rowOff>32396</xdr:rowOff>
    </xdr:from>
    <xdr:ext cx="2000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38539</xdr:colOff>
      <xdr:row>65</xdr:row>
      <xdr:rowOff>32396</xdr:rowOff>
    </xdr:from>
    <xdr:ext cx="2000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38539</xdr:colOff>
      <xdr:row>66</xdr:row>
      <xdr:rowOff>32396</xdr:rowOff>
    </xdr:from>
    <xdr:ext cx="2000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38539</xdr:colOff>
      <xdr:row>67</xdr:row>
      <xdr:rowOff>32396</xdr:rowOff>
    </xdr:from>
    <xdr:ext cx="2000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41181</xdr:colOff>
      <xdr:row>12</xdr:row>
      <xdr:rowOff>24845</xdr:rowOff>
    </xdr:from>
    <xdr:ext cx="23812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41181</xdr:colOff>
      <xdr:row>13</xdr:row>
      <xdr:rowOff>24845</xdr:rowOff>
    </xdr:from>
    <xdr:ext cx="23812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41181</xdr:colOff>
      <xdr:row>14</xdr:row>
      <xdr:rowOff>24845</xdr:rowOff>
    </xdr:from>
    <xdr:ext cx="23812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38539</xdr:colOff>
      <xdr:row>63</xdr:row>
      <xdr:rowOff>32396</xdr:rowOff>
    </xdr:from>
    <xdr:ext cx="2000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38539</xdr:colOff>
      <xdr:row>64</xdr:row>
      <xdr:rowOff>32396</xdr:rowOff>
    </xdr:from>
    <xdr:ext cx="2000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38539</xdr:colOff>
      <xdr:row>65</xdr:row>
      <xdr:rowOff>32396</xdr:rowOff>
    </xdr:from>
    <xdr:ext cx="2000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38539</xdr:colOff>
      <xdr:row>66</xdr:row>
      <xdr:rowOff>32396</xdr:rowOff>
    </xdr:from>
    <xdr:ext cx="2000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38539</xdr:colOff>
      <xdr:row>67</xdr:row>
      <xdr:rowOff>32396</xdr:rowOff>
    </xdr:from>
    <xdr:ext cx="2000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41181</xdr:colOff>
      <xdr:row>12</xdr:row>
      <xdr:rowOff>24845</xdr:rowOff>
    </xdr:from>
    <xdr:ext cx="23812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41181</xdr:colOff>
      <xdr:row>13</xdr:row>
      <xdr:rowOff>24845</xdr:rowOff>
    </xdr:from>
    <xdr:ext cx="23812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41181</xdr:colOff>
      <xdr:row>14</xdr:row>
      <xdr:rowOff>24845</xdr:rowOff>
    </xdr:from>
    <xdr:ext cx="23812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38539</xdr:colOff>
      <xdr:row>63</xdr:row>
      <xdr:rowOff>32396</xdr:rowOff>
    </xdr:from>
    <xdr:ext cx="20002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38539</xdr:colOff>
      <xdr:row>64</xdr:row>
      <xdr:rowOff>32396</xdr:rowOff>
    </xdr:from>
    <xdr:ext cx="20002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38539</xdr:colOff>
      <xdr:row>65</xdr:row>
      <xdr:rowOff>32396</xdr:rowOff>
    </xdr:from>
    <xdr:ext cx="20002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38539</xdr:colOff>
      <xdr:row>66</xdr:row>
      <xdr:rowOff>32396</xdr:rowOff>
    </xdr:from>
    <xdr:ext cx="20002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38539</xdr:colOff>
      <xdr:row>67</xdr:row>
      <xdr:rowOff>32396</xdr:rowOff>
    </xdr:from>
    <xdr:ext cx="20002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41181</xdr:colOff>
      <xdr:row>12</xdr:row>
      <xdr:rowOff>24845</xdr:rowOff>
    </xdr:from>
    <xdr:ext cx="23812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41181</xdr:colOff>
      <xdr:row>13</xdr:row>
      <xdr:rowOff>24845</xdr:rowOff>
    </xdr:from>
    <xdr:ext cx="23812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41181</xdr:colOff>
      <xdr:row>14</xdr:row>
      <xdr:rowOff>24845</xdr:rowOff>
    </xdr:from>
    <xdr:ext cx="23812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38539</xdr:colOff>
      <xdr:row>63</xdr:row>
      <xdr:rowOff>32396</xdr:rowOff>
    </xdr:from>
    <xdr:ext cx="20002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38539</xdr:colOff>
      <xdr:row>64</xdr:row>
      <xdr:rowOff>32396</xdr:rowOff>
    </xdr:from>
    <xdr:ext cx="20002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38539</xdr:colOff>
      <xdr:row>65</xdr:row>
      <xdr:rowOff>32396</xdr:rowOff>
    </xdr:from>
    <xdr:ext cx="20002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38539</xdr:colOff>
      <xdr:row>66</xdr:row>
      <xdr:rowOff>32396</xdr:rowOff>
    </xdr:from>
    <xdr:ext cx="20002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38539</xdr:colOff>
      <xdr:row>67</xdr:row>
      <xdr:rowOff>32396</xdr:rowOff>
    </xdr:from>
    <xdr:ext cx="20002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27</xdr:col>
      <xdr:colOff>41181</xdr:colOff>
      <xdr:row>12</xdr:row>
      <xdr:rowOff>24845</xdr:rowOff>
    </xdr:from>
    <xdr:ext cx="23812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27</xdr:col>
      <xdr:colOff>41181</xdr:colOff>
      <xdr:row>13</xdr:row>
      <xdr:rowOff>24845</xdr:rowOff>
    </xdr:from>
    <xdr:ext cx="23812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27</xdr:col>
      <xdr:colOff>41181</xdr:colOff>
      <xdr:row>14</xdr:row>
      <xdr:rowOff>24845</xdr:rowOff>
    </xdr:from>
    <xdr:ext cx="23812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27</xdr:col>
      <xdr:colOff>38539</xdr:colOff>
      <xdr:row>63</xdr:row>
      <xdr:rowOff>32396</xdr:rowOff>
    </xdr:from>
    <xdr:ext cx="200025"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27</xdr:col>
      <xdr:colOff>38539</xdr:colOff>
      <xdr:row>64</xdr:row>
      <xdr:rowOff>32396</xdr:rowOff>
    </xdr:from>
    <xdr:ext cx="200025"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27</xdr:col>
      <xdr:colOff>38539</xdr:colOff>
      <xdr:row>65</xdr:row>
      <xdr:rowOff>32396</xdr:rowOff>
    </xdr:from>
    <xdr:ext cx="200025"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27</xdr:col>
      <xdr:colOff>38539</xdr:colOff>
      <xdr:row>66</xdr:row>
      <xdr:rowOff>32396</xdr:rowOff>
    </xdr:from>
    <xdr:ext cx="200025"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27</xdr:col>
      <xdr:colOff>38539</xdr:colOff>
      <xdr:row>67</xdr:row>
      <xdr:rowOff>32396</xdr:rowOff>
    </xdr:from>
    <xdr:ext cx="200025"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28</xdr:col>
      <xdr:colOff>41181</xdr:colOff>
      <xdr:row>12</xdr:row>
      <xdr:rowOff>24845</xdr:rowOff>
    </xdr:from>
    <xdr:ext cx="23812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28</xdr:col>
      <xdr:colOff>41181</xdr:colOff>
      <xdr:row>13</xdr:row>
      <xdr:rowOff>24845</xdr:rowOff>
    </xdr:from>
    <xdr:ext cx="23812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28</xdr:col>
      <xdr:colOff>41181</xdr:colOff>
      <xdr:row>14</xdr:row>
      <xdr:rowOff>24845</xdr:rowOff>
    </xdr:from>
    <xdr:ext cx="23812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28</xdr:col>
      <xdr:colOff>38539</xdr:colOff>
      <xdr:row>63</xdr:row>
      <xdr:rowOff>32396</xdr:rowOff>
    </xdr:from>
    <xdr:ext cx="200025" cy="2000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28</xdr:col>
      <xdr:colOff>38539</xdr:colOff>
      <xdr:row>64</xdr:row>
      <xdr:rowOff>32396</xdr:rowOff>
    </xdr:from>
    <xdr:ext cx="200025" cy="2000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28</xdr:col>
      <xdr:colOff>38539</xdr:colOff>
      <xdr:row>65</xdr:row>
      <xdr:rowOff>32396</xdr:rowOff>
    </xdr:from>
    <xdr:ext cx="200025" cy="2000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28</xdr:col>
      <xdr:colOff>38539</xdr:colOff>
      <xdr:row>66</xdr:row>
      <xdr:rowOff>32396</xdr:rowOff>
    </xdr:from>
    <xdr:ext cx="200025" cy="2000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28</xdr:col>
      <xdr:colOff>38539</xdr:colOff>
      <xdr:row>67</xdr:row>
      <xdr:rowOff>32396</xdr:rowOff>
    </xdr:from>
    <xdr:ext cx="200025" cy="2000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41</xdr:col>
      <xdr:colOff>41482</xdr:colOff>
      <xdr:row>12</xdr:row>
      <xdr:rowOff>24845</xdr:rowOff>
    </xdr:from>
    <xdr:ext cx="62865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41</xdr:col>
      <xdr:colOff>41482</xdr:colOff>
      <xdr:row>13</xdr:row>
      <xdr:rowOff>24845</xdr:rowOff>
    </xdr:from>
    <xdr:ext cx="62865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41</xdr:col>
      <xdr:colOff>41482</xdr:colOff>
      <xdr:row>14</xdr:row>
      <xdr:rowOff>24845</xdr:rowOff>
    </xdr:from>
    <xdr:ext cx="62865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41</xdr:col>
      <xdr:colOff>39575</xdr:colOff>
      <xdr:row>63</xdr:row>
      <xdr:rowOff>32396</xdr:rowOff>
    </xdr:from>
    <xdr:ext cx="590550" cy="2000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41</xdr:col>
      <xdr:colOff>39575</xdr:colOff>
      <xdr:row>64</xdr:row>
      <xdr:rowOff>32396</xdr:rowOff>
    </xdr:from>
    <xdr:ext cx="590550" cy="2000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41</xdr:col>
      <xdr:colOff>39575</xdr:colOff>
      <xdr:row>65</xdr:row>
      <xdr:rowOff>32396</xdr:rowOff>
    </xdr:from>
    <xdr:ext cx="590550" cy="2000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41</xdr:col>
      <xdr:colOff>39575</xdr:colOff>
      <xdr:row>66</xdr:row>
      <xdr:rowOff>32396</xdr:rowOff>
    </xdr:from>
    <xdr:ext cx="590550" cy="2000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41</xdr:col>
      <xdr:colOff>39575</xdr:colOff>
      <xdr:row>67</xdr:row>
      <xdr:rowOff>32396</xdr:rowOff>
    </xdr:from>
    <xdr:ext cx="590550" cy="2000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9</xdr:col>
      <xdr:colOff>38539</xdr:colOff>
      <xdr:row>63</xdr:row>
      <xdr:rowOff>32396</xdr:rowOff>
    </xdr:from>
    <xdr:ext cx="2000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10</xdr:col>
      <xdr:colOff>38539</xdr:colOff>
      <xdr:row>63</xdr:row>
      <xdr:rowOff>32396</xdr:rowOff>
    </xdr:from>
    <xdr:ext cx="2000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11</xdr:col>
      <xdr:colOff>38539</xdr:colOff>
      <xdr:row>63</xdr:row>
      <xdr:rowOff>32396</xdr:rowOff>
    </xdr:from>
    <xdr:ext cx="20002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12</xdr:col>
      <xdr:colOff>38539</xdr:colOff>
      <xdr:row>63</xdr:row>
      <xdr:rowOff>32396</xdr:rowOff>
    </xdr:from>
    <xdr:ext cx="2000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13</xdr:col>
      <xdr:colOff>38539</xdr:colOff>
      <xdr:row>63</xdr:row>
      <xdr:rowOff>32396</xdr:rowOff>
    </xdr:from>
    <xdr:ext cx="2000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14</xdr:col>
      <xdr:colOff>38539</xdr:colOff>
      <xdr:row>63</xdr:row>
      <xdr:rowOff>32396</xdr:rowOff>
    </xdr:from>
    <xdr:ext cx="2000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15</xdr:col>
      <xdr:colOff>38539</xdr:colOff>
      <xdr:row>63</xdr:row>
      <xdr:rowOff>32396</xdr:rowOff>
    </xdr:from>
    <xdr:ext cx="2000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16</xdr:col>
      <xdr:colOff>38539</xdr:colOff>
      <xdr:row>63</xdr:row>
      <xdr:rowOff>32396</xdr:rowOff>
    </xdr:from>
    <xdr:ext cx="2000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17</xdr:col>
      <xdr:colOff>38539</xdr:colOff>
      <xdr:row>63</xdr:row>
      <xdr:rowOff>32396</xdr:rowOff>
    </xdr:from>
    <xdr:ext cx="2000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18</xdr:col>
      <xdr:colOff>38539</xdr:colOff>
      <xdr:row>63</xdr:row>
      <xdr:rowOff>32396</xdr:rowOff>
    </xdr:from>
    <xdr:ext cx="2000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19</xdr:col>
      <xdr:colOff>38539</xdr:colOff>
      <xdr:row>63</xdr:row>
      <xdr:rowOff>32396</xdr:rowOff>
    </xdr:from>
    <xdr:ext cx="2000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20</xdr:col>
      <xdr:colOff>38539</xdr:colOff>
      <xdr:row>63</xdr:row>
      <xdr:rowOff>32396</xdr:rowOff>
    </xdr:from>
    <xdr:ext cx="2000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21</xdr:col>
      <xdr:colOff>38539</xdr:colOff>
      <xdr:row>63</xdr:row>
      <xdr:rowOff>32396</xdr:rowOff>
    </xdr:from>
    <xdr:ext cx="2000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22</xdr:col>
      <xdr:colOff>38539</xdr:colOff>
      <xdr:row>63</xdr:row>
      <xdr:rowOff>32396</xdr:rowOff>
    </xdr:from>
    <xdr:ext cx="2000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23</xdr:col>
      <xdr:colOff>38539</xdr:colOff>
      <xdr:row>63</xdr:row>
      <xdr:rowOff>32396</xdr:rowOff>
    </xdr:from>
    <xdr:ext cx="2000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24</xdr:col>
      <xdr:colOff>38539</xdr:colOff>
      <xdr:row>63</xdr:row>
      <xdr:rowOff>32396</xdr:rowOff>
    </xdr:from>
    <xdr:ext cx="2000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25</xdr:col>
      <xdr:colOff>38539</xdr:colOff>
      <xdr:row>63</xdr:row>
      <xdr:rowOff>32396</xdr:rowOff>
    </xdr:from>
    <xdr:ext cx="2000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26</xdr:col>
      <xdr:colOff>38539</xdr:colOff>
      <xdr:row>63</xdr:row>
      <xdr:rowOff>32396</xdr:rowOff>
    </xdr:from>
    <xdr:ext cx="2000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27</xdr:col>
      <xdr:colOff>38539</xdr:colOff>
      <xdr:row>63</xdr:row>
      <xdr:rowOff>32396</xdr:rowOff>
    </xdr:from>
    <xdr:ext cx="2000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28</xdr:col>
      <xdr:colOff>38539</xdr:colOff>
      <xdr:row>63</xdr:row>
      <xdr:rowOff>32396</xdr:rowOff>
    </xdr:from>
    <xdr:ext cx="2000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29</xdr:col>
      <xdr:colOff>38539</xdr:colOff>
      <xdr:row>63</xdr:row>
      <xdr:rowOff>32396</xdr:rowOff>
    </xdr:from>
    <xdr:ext cx="2000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39575</xdr:colOff>
      <xdr:row>63</xdr:row>
      <xdr:rowOff>32396</xdr:rowOff>
    </xdr:from>
    <xdr:ext cx="590550"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38539</xdr:colOff>
      <xdr:row>64</xdr:row>
      <xdr:rowOff>32396</xdr:rowOff>
    </xdr:from>
    <xdr:ext cx="2000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10</xdr:col>
      <xdr:colOff>38539</xdr:colOff>
      <xdr:row>64</xdr:row>
      <xdr:rowOff>32396</xdr:rowOff>
    </xdr:from>
    <xdr:ext cx="2000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11</xdr:col>
      <xdr:colOff>38539</xdr:colOff>
      <xdr:row>64</xdr:row>
      <xdr:rowOff>32396</xdr:rowOff>
    </xdr:from>
    <xdr:ext cx="2000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12</xdr:col>
      <xdr:colOff>38539</xdr:colOff>
      <xdr:row>64</xdr:row>
      <xdr:rowOff>32396</xdr:rowOff>
    </xdr:from>
    <xdr:ext cx="20002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13</xdr:col>
      <xdr:colOff>38539</xdr:colOff>
      <xdr:row>64</xdr:row>
      <xdr:rowOff>32396</xdr:rowOff>
    </xdr:from>
    <xdr:ext cx="2000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14</xdr:col>
      <xdr:colOff>38539</xdr:colOff>
      <xdr:row>64</xdr:row>
      <xdr:rowOff>32396</xdr:rowOff>
    </xdr:from>
    <xdr:ext cx="2000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15</xdr:col>
      <xdr:colOff>38539</xdr:colOff>
      <xdr:row>64</xdr:row>
      <xdr:rowOff>32396</xdr:rowOff>
    </xdr:from>
    <xdr:ext cx="2000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16</xdr:col>
      <xdr:colOff>38539</xdr:colOff>
      <xdr:row>64</xdr:row>
      <xdr:rowOff>32396</xdr:rowOff>
    </xdr:from>
    <xdr:ext cx="2000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17</xdr:col>
      <xdr:colOff>38539</xdr:colOff>
      <xdr:row>64</xdr:row>
      <xdr:rowOff>32396</xdr:rowOff>
    </xdr:from>
    <xdr:ext cx="2000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18</xdr:col>
      <xdr:colOff>38539</xdr:colOff>
      <xdr:row>64</xdr:row>
      <xdr:rowOff>32396</xdr:rowOff>
    </xdr:from>
    <xdr:ext cx="2000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19</xdr:col>
      <xdr:colOff>38539</xdr:colOff>
      <xdr:row>64</xdr:row>
      <xdr:rowOff>32396</xdr:rowOff>
    </xdr:from>
    <xdr:ext cx="2000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20</xdr:col>
      <xdr:colOff>38539</xdr:colOff>
      <xdr:row>64</xdr:row>
      <xdr:rowOff>32396</xdr:rowOff>
    </xdr:from>
    <xdr:ext cx="2000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21</xdr:col>
      <xdr:colOff>38539</xdr:colOff>
      <xdr:row>64</xdr:row>
      <xdr:rowOff>32396</xdr:rowOff>
    </xdr:from>
    <xdr:ext cx="2000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22</xdr:col>
      <xdr:colOff>38539</xdr:colOff>
      <xdr:row>64</xdr:row>
      <xdr:rowOff>32396</xdr:rowOff>
    </xdr:from>
    <xdr:ext cx="2000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23</xdr:col>
      <xdr:colOff>38539</xdr:colOff>
      <xdr:row>64</xdr:row>
      <xdr:rowOff>32396</xdr:rowOff>
    </xdr:from>
    <xdr:ext cx="2000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24</xdr:col>
      <xdr:colOff>38539</xdr:colOff>
      <xdr:row>64</xdr:row>
      <xdr:rowOff>32396</xdr:rowOff>
    </xdr:from>
    <xdr:ext cx="2000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25</xdr:col>
      <xdr:colOff>38539</xdr:colOff>
      <xdr:row>64</xdr:row>
      <xdr:rowOff>32396</xdr:rowOff>
    </xdr:from>
    <xdr:ext cx="2000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26</xdr:col>
      <xdr:colOff>38539</xdr:colOff>
      <xdr:row>64</xdr:row>
      <xdr:rowOff>32396</xdr:rowOff>
    </xdr:from>
    <xdr:ext cx="2000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27</xdr:col>
      <xdr:colOff>38539</xdr:colOff>
      <xdr:row>64</xdr:row>
      <xdr:rowOff>32396</xdr:rowOff>
    </xdr:from>
    <xdr:ext cx="2000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28</xdr:col>
      <xdr:colOff>38539</xdr:colOff>
      <xdr:row>64</xdr:row>
      <xdr:rowOff>32396</xdr:rowOff>
    </xdr:from>
    <xdr:ext cx="2000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29</xdr:col>
      <xdr:colOff>38539</xdr:colOff>
      <xdr:row>64</xdr:row>
      <xdr:rowOff>32396</xdr:rowOff>
    </xdr:from>
    <xdr:ext cx="2000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39575</xdr:colOff>
      <xdr:row>64</xdr:row>
      <xdr:rowOff>32396</xdr:rowOff>
    </xdr:from>
    <xdr:ext cx="590550"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9</xdr:col>
      <xdr:colOff>38539</xdr:colOff>
      <xdr:row>65</xdr:row>
      <xdr:rowOff>32396</xdr:rowOff>
    </xdr:from>
    <xdr:ext cx="2000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10</xdr:col>
      <xdr:colOff>38539</xdr:colOff>
      <xdr:row>65</xdr:row>
      <xdr:rowOff>32396</xdr:rowOff>
    </xdr:from>
    <xdr:ext cx="2000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11</xdr:col>
      <xdr:colOff>38539</xdr:colOff>
      <xdr:row>65</xdr:row>
      <xdr:rowOff>32396</xdr:rowOff>
    </xdr:from>
    <xdr:ext cx="2000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12</xdr:col>
      <xdr:colOff>38539</xdr:colOff>
      <xdr:row>65</xdr:row>
      <xdr:rowOff>32396</xdr:rowOff>
    </xdr:from>
    <xdr:ext cx="2000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13</xdr:col>
      <xdr:colOff>38539</xdr:colOff>
      <xdr:row>65</xdr:row>
      <xdr:rowOff>32396</xdr:rowOff>
    </xdr:from>
    <xdr:ext cx="2000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14</xdr:col>
      <xdr:colOff>38539</xdr:colOff>
      <xdr:row>65</xdr:row>
      <xdr:rowOff>32396</xdr:rowOff>
    </xdr:from>
    <xdr:ext cx="2000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15</xdr:col>
      <xdr:colOff>38539</xdr:colOff>
      <xdr:row>65</xdr:row>
      <xdr:rowOff>32396</xdr:rowOff>
    </xdr:from>
    <xdr:ext cx="2000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16</xdr:col>
      <xdr:colOff>38539</xdr:colOff>
      <xdr:row>65</xdr:row>
      <xdr:rowOff>32396</xdr:rowOff>
    </xdr:from>
    <xdr:ext cx="2000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17</xdr:col>
      <xdr:colOff>38539</xdr:colOff>
      <xdr:row>65</xdr:row>
      <xdr:rowOff>32396</xdr:rowOff>
    </xdr:from>
    <xdr:ext cx="2000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18</xdr:col>
      <xdr:colOff>38539</xdr:colOff>
      <xdr:row>65</xdr:row>
      <xdr:rowOff>32396</xdr:rowOff>
    </xdr:from>
    <xdr:ext cx="2000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19</xdr:col>
      <xdr:colOff>38539</xdr:colOff>
      <xdr:row>65</xdr:row>
      <xdr:rowOff>32396</xdr:rowOff>
    </xdr:from>
    <xdr:ext cx="2000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20</xdr:col>
      <xdr:colOff>38539</xdr:colOff>
      <xdr:row>65</xdr:row>
      <xdr:rowOff>32396</xdr:rowOff>
    </xdr:from>
    <xdr:ext cx="2000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21</xdr:col>
      <xdr:colOff>38539</xdr:colOff>
      <xdr:row>65</xdr:row>
      <xdr:rowOff>32396</xdr:rowOff>
    </xdr:from>
    <xdr:ext cx="2000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22</xdr:col>
      <xdr:colOff>38539</xdr:colOff>
      <xdr:row>65</xdr:row>
      <xdr:rowOff>32396</xdr:rowOff>
    </xdr:from>
    <xdr:ext cx="2000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23</xdr:col>
      <xdr:colOff>38539</xdr:colOff>
      <xdr:row>65</xdr:row>
      <xdr:rowOff>32396</xdr:rowOff>
    </xdr:from>
    <xdr:ext cx="2000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24</xdr:col>
      <xdr:colOff>38539</xdr:colOff>
      <xdr:row>65</xdr:row>
      <xdr:rowOff>32396</xdr:rowOff>
    </xdr:from>
    <xdr:ext cx="2000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25</xdr:col>
      <xdr:colOff>38539</xdr:colOff>
      <xdr:row>65</xdr:row>
      <xdr:rowOff>32396</xdr:rowOff>
    </xdr:from>
    <xdr:ext cx="2000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26</xdr:col>
      <xdr:colOff>38539</xdr:colOff>
      <xdr:row>65</xdr:row>
      <xdr:rowOff>32396</xdr:rowOff>
    </xdr:from>
    <xdr:ext cx="2000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27</xdr:col>
      <xdr:colOff>38539</xdr:colOff>
      <xdr:row>65</xdr:row>
      <xdr:rowOff>32396</xdr:rowOff>
    </xdr:from>
    <xdr:ext cx="2000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28</xdr:col>
      <xdr:colOff>38539</xdr:colOff>
      <xdr:row>65</xdr:row>
      <xdr:rowOff>32396</xdr:rowOff>
    </xdr:from>
    <xdr:ext cx="2000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29</xdr:col>
      <xdr:colOff>38539</xdr:colOff>
      <xdr:row>65</xdr:row>
      <xdr:rowOff>32396</xdr:rowOff>
    </xdr:from>
    <xdr:ext cx="2000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39575</xdr:colOff>
      <xdr:row>65</xdr:row>
      <xdr:rowOff>32396</xdr:rowOff>
    </xdr:from>
    <xdr:ext cx="590550"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38539</xdr:colOff>
      <xdr:row>66</xdr:row>
      <xdr:rowOff>32396</xdr:rowOff>
    </xdr:from>
    <xdr:ext cx="2000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38539</xdr:colOff>
      <xdr:row>66</xdr:row>
      <xdr:rowOff>32396</xdr:rowOff>
    </xdr:from>
    <xdr:ext cx="2000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11</xdr:col>
      <xdr:colOff>38539</xdr:colOff>
      <xdr:row>66</xdr:row>
      <xdr:rowOff>32396</xdr:rowOff>
    </xdr:from>
    <xdr:ext cx="2000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12</xdr:col>
      <xdr:colOff>38539</xdr:colOff>
      <xdr:row>66</xdr:row>
      <xdr:rowOff>32396</xdr:rowOff>
    </xdr:from>
    <xdr:ext cx="2000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13</xdr:col>
      <xdr:colOff>38539</xdr:colOff>
      <xdr:row>66</xdr:row>
      <xdr:rowOff>32396</xdr:rowOff>
    </xdr:from>
    <xdr:ext cx="2000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14</xdr:col>
      <xdr:colOff>38539</xdr:colOff>
      <xdr:row>66</xdr:row>
      <xdr:rowOff>32396</xdr:rowOff>
    </xdr:from>
    <xdr:ext cx="2000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38539</xdr:colOff>
      <xdr:row>66</xdr:row>
      <xdr:rowOff>32396</xdr:rowOff>
    </xdr:from>
    <xdr:ext cx="2000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16</xdr:col>
      <xdr:colOff>38539</xdr:colOff>
      <xdr:row>66</xdr:row>
      <xdr:rowOff>32396</xdr:rowOff>
    </xdr:from>
    <xdr:ext cx="2000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17</xdr:col>
      <xdr:colOff>38539</xdr:colOff>
      <xdr:row>66</xdr:row>
      <xdr:rowOff>32396</xdr:rowOff>
    </xdr:from>
    <xdr:ext cx="2000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18</xdr:col>
      <xdr:colOff>38539</xdr:colOff>
      <xdr:row>66</xdr:row>
      <xdr:rowOff>32396</xdr:rowOff>
    </xdr:from>
    <xdr:ext cx="2000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19</xdr:col>
      <xdr:colOff>38539</xdr:colOff>
      <xdr:row>66</xdr:row>
      <xdr:rowOff>32396</xdr:rowOff>
    </xdr:from>
    <xdr:ext cx="2000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20</xdr:col>
      <xdr:colOff>38539</xdr:colOff>
      <xdr:row>66</xdr:row>
      <xdr:rowOff>32396</xdr:rowOff>
    </xdr:from>
    <xdr:ext cx="2000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21</xdr:col>
      <xdr:colOff>38539</xdr:colOff>
      <xdr:row>66</xdr:row>
      <xdr:rowOff>32396</xdr:rowOff>
    </xdr:from>
    <xdr:ext cx="2000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22</xdr:col>
      <xdr:colOff>38539</xdr:colOff>
      <xdr:row>66</xdr:row>
      <xdr:rowOff>32396</xdr:rowOff>
    </xdr:from>
    <xdr:ext cx="2000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23</xdr:col>
      <xdr:colOff>38539</xdr:colOff>
      <xdr:row>66</xdr:row>
      <xdr:rowOff>32396</xdr:rowOff>
    </xdr:from>
    <xdr:ext cx="2000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24</xdr:col>
      <xdr:colOff>38539</xdr:colOff>
      <xdr:row>66</xdr:row>
      <xdr:rowOff>32396</xdr:rowOff>
    </xdr:from>
    <xdr:ext cx="2000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25</xdr:col>
      <xdr:colOff>38539</xdr:colOff>
      <xdr:row>66</xdr:row>
      <xdr:rowOff>32396</xdr:rowOff>
    </xdr:from>
    <xdr:ext cx="2000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26</xdr:col>
      <xdr:colOff>38539</xdr:colOff>
      <xdr:row>66</xdr:row>
      <xdr:rowOff>32396</xdr:rowOff>
    </xdr:from>
    <xdr:ext cx="2000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27</xdr:col>
      <xdr:colOff>38539</xdr:colOff>
      <xdr:row>66</xdr:row>
      <xdr:rowOff>32396</xdr:rowOff>
    </xdr:from>
    <xdr:ext cx="2000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28</xdr:col>
      <xdr:colOff>38539</xdr:colOff>
      <xdr:row>66</xdr:row>
      <xdr:rowOff>32396</xdr:rowOff>
    </xdr:from>
    <xdr:ext cx="2000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29</xdr:col>
      <xdr:colOff>38539</xdr:colOff>
      <xdr:row>66</xdr:row>
      <xdr:rowOff>32396</xdr:rowOff>
    </xdr:from>
    <xdr:ext cx="2000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39575</xdr:colOff>
      <xdr:row>66</xdr:row>
      <xdr:rowOff>32396</xdr:rowOff>
    </xdr:from>
    <xdr:ext cx="590550"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9</xdr:col>
      <xdr:colOff>38539</xdr:colOff>
      <xdr:row>67</xdr:row>
      <xdr:rowOff>32396</xdr:rowOff>
    </xdr:from>
    <xdr:ext cx="2000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10</xdr:col>
      <xdr:colOff>38539</xdr:colOff>
      <xdr:row>67</xdr:row>
      <xdr:rowOff>32396</xdr:rowOff>
    </xdr:from>
    <xdr:ext cx="2000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11</xdr:col>
      <xdr:colOff>38539</xdr:colOff>
      <xdr:row>67</xdr:row>
      <xdr:rowOff>32396</xdr:rowOff>
    </xdr:from>
    <xdr:ext cx="2000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12</xdr:col>
      <xdr:colOff>38539</xdr:colOff>
      <xdr:row>67</xdr:row>
      <xdr:rowOff>32396</xdr:rowOff>
    </xdr:from>
    <xdr:ext cx="2000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13</xdr:col>
      <xdr:colOff>38539</xdr:colOff>
      <xdr:row>67</xdr:row>
      <xdr:rowOff>32396</xdr:rowOff>
    </xdr:from>
    <xdr:ext cx="2000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38539</xdr:colOff>
      <xdr:row>67</xdr:row>
      <xdr:rowOff>32396</xdr:rowOff>
    </xdr:from>
    <xdr:ext cx="2000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38539</xdr:colOff>
      <xdr:row>67</xdr:row>
      <xdr:rowOff>32396</xdr:rowOff>
    </xdr:from>
    <xdr:ext cx="2000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38539</xdr:colOff>
      <xdr:row>67</xdr:row>
      <xdr:rowOff>32396</xdr:rowOff>
    </xdr:from>
    <xdr:ext cx="2000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17</xdr:col>
      <xdr:colOff>38539</xdr:colOff>
      <xdr:row>67</xdr:row>
      <xdr:rowOff>32396</xdr:rowOff>
    </xdr:from>
    <xdr:ext cx="2000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18</xdr:col>
      <xdr:colOff>38539</xdr:colOff>
      <xdr:row>67</xdr:row>
      <xdr:rowOff>32396</xdr:rowOff>
    </xdr:from>
    <xdr:ext cx="2000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19</xdr:col>
      <xdr:colOff>38539</xdr:colOff>
      <xdr:row>67</xdr:row>
      <xdr:rowOff>32396</xdr:rowOff>
    </xdr:from>
    <xdr:ext cx="2000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20</xdr:col>
      <xdr:colOff>38539</xdr:colOff>
      <xdr:row>67</xdr:row>
      <xdr:rowOff>32396</xdr:rowOff>
    </xdr:from>
    <xdr:ext cx="2000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21</xdr:col>
      <xdr:colOff>38539</xdr:colOff>
      <xdr:row>67</xdr:row>
      <xdr:rowOff>32396</xdr:rowOff>
    </xdr:from>
    <xdr:ext cx="2000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22</xdr:col>
      <xdr:colOff>38539</xdr:colOff>
      <xdr:row>67</xdr:row>
      <xdr:rowOff>32396</xdr:rowOff>
    </xdr:from>
    <xdr:ext cx="2000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23</xdr:col>
      <xdr:colOff>38539</xdr:colOff>
      <xdr:row>67</xdr:row>
      <xdr:rowOff>32396</xdr:rowOff>
    </xdr:from>
    <xdr:ext cx="2000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24</xdr:col>
      <xdr:colOff>38539</xdr:colOff>
      <xdr:row>67</xdr:row>
      <xdr:rowOff>32396</xdr:rowOff>
    </xdr:from>
    <xdr:ext cx="2000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25</xdr:col>
      <xdr:colOff>38539</xdr:colOff>
      <xdr:row>67</xdr:row>
      <xdr:rowOff>32396</xdr:rowOff>
    </xdr:from>
    <xdr:ext cx="2000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26</xdr:col>
      <xdr:colOff>38539</xdr:colOff>
      <xdr:row>67</xdr:row>
      <xdr:rowOff>32396</xdr:rowOff>
    </xdr:from>
    <xdr:ext cx="2000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27</xdr:col>
      <xdr:colOff>38539</xdr:colOff>
      <xdr:row>67</xdr:row>
      <xdr:rowOff>32396</xdr:rowOff>
    </xdr:from>
    <xdr:ext cx="2000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28</xdr:col>
      <xdr:colOff>38539</xdr:colOff>
      <xdr:row>67</xdr:row>
      <xdr:rowOff>32396</xdr:rowOff>
    </xdr:from>
    <xdr:ext cx="2000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29</xdr:col>
      <xdr:colOff>38539</xdr:colOff>
      <xdr:row>67</xdr:row>
      <xdr:rowOff>32396</xdr:rowOff>
    </xdr:from>
    <xdr:ext cx="2000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39575</xdr:colOff>
      <xdr:row>67</xdr:row>
      <xdr:rowOff>32396</xdr:rowOff>
    </xdr:from>
    <xdr:ext cx="590550"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9</xdr:col>
      <xdr:colOff>41181</xdr:colOff>
      <xdr:row>12</xdr:row>
      <xdr:rowOff>24845</xdr:rowOff>
    </xdr:from>
    <xdr:ext cx="23812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9</xdr:col>
      <xdr:colOff>41181</xdr:colOff>
      <xdr:row>13</xdr:row>
      <xdr:rowOff>24845</xdr:rowOff>
    </xdr:from>
    <xdr:ext cx="23812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9</xdr:col>
      <xdr:colOff>41181</xdr:colOff>
      <xdr:row>14</xdr:row>
      <xdr:rowOff>24845</xdr:rowOff>
    </xdr:from>
    <xdr:ext cx="23812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9</xdr:col>
      <xdr:colOff>38539</xdr:colOff>
      <xdr:row>63</xdr:row>
      <xdr:rowOff>32396</xdr:rowOff>
    </xdr:from>
    <xdr:ext cx="2000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9</xdr:col>
      <xdr:colOff>38539</xdr:colOff>
      <xdr:row>64</xdr:row>
      <xdr:rowOff>32396</xdr:rowOff>
    </xdr:from>
    <xdr:ext cx="2000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9</xdr:col>
      <xdr:colOff>38539</xdr:colOff>
      <xdr:row>65</xdr:row>
      <xdr:rowOff>32396</xdr:rowOff>
    </xdr:from>
    <xdr:ext cx="2000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9</xdr:col>
      <xdr:colOff>38539</xdr:colOff>
      <xdr:row>66</xdr:row>
      <xdr:rowOff>32396</xdr:rowOff>
    </xdr:from>
    <xdr:ext cx="2000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9</xdr:col>
      <xdr:colOff>38539</xdr:colOff>
      <xdr:row>67</xdr:row>
      <xdr:rowOff>32396</xdr:rowOff>
    </xdr:from>
    <xdr:ext cx="2000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10</xdr:col>
      <xdr:colOff>41181</xdr:colOff>
      <xdr:row>12</xdr:row>
      <xdr:rowOff>24845</xdr:rowOff>
    </xdr:from>
    <xdr:ext cx="23812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10</xdr:col>
      <xdr:colOff>41181</xdr:colOff>
      <xdr:row>13</xdr:row>
      <xdr:rowOff>24845</xdr:rowOff>
    </xdr:from>
    <xdr:ext cx="23812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10</xdr:col>
      <xdr:colOff>41181</xdr:colOff>
      <xdr:row>14</xdr:row>
      <xdr:rowOff>24845</xdr:rowOff>
    </xdr:from>
    <xdr:ext cx="23812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10</xdr:col>
      <xdr:colOff>38539</xdr:colOff>
      <xdr:row>63</xdr:row>
      <xdr:rowOff>32396</xdr:rowOff>
    </xdr:from>
    <xdr:ext cx="2000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10</xdr:col>
      <xdr:colOff>38539</xdr:colOff>
      <xdr:row>64</xdr:row>
      <xdr:rowOff>32396</xdr:rowOff>
    </xdr:from>
    <xdr:ext cx="2000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10</xdr:col>
      <xdr:colOff>38539</xdr:colOff>
      <xdr:row>65</xdr:row>
      <xdr:rowOff>32396</xdr:rowOff>
    </xdr:from>
    <xdr:ext cx="2000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10</xdr:col>
      <xdr:colOff>38539</xdr:colOff>
      <xdr:row>66</xdr:row>
      <xdr:rowOff>32396</xdr:rowOff>
    </xdr:from>
    <xdr:ext cx="2000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10</xdr:col>
      <xdr:colOff>38539</xdr:colOff>
      <xdr:row>67</xdr:row>
      <xdr:rowOff>32396</xdr:rowOff>
    </xdr:from>
    <xdr:ext cx="2000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11</xdr:col>
      <xdr:colOff>41181</xdr:colOff>
      <xdr:row>12</xdr:row>
      <xdr:rowOff>24845</xdr:rowOff>
    </xdr:from>
    <xdr:ext cx="23812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11</xdr:col>
      <xdr:colOff>41181</xdr:colOff>
      <xdr:row>13</xdr:row>
      <xdr:rowOff>24845</xdr:rowOff>
    </xdr:from>
    <xdr:ext cx="23812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11</xdr:col>
      <xdr:colOff>41181</xdr:colOff>
      <xdr:row>14</xdr:row>
      <xdr:rowOff>24845</xdr:rowOff>
    </xdr:from>
    <xdr:ext cx="23812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11</xdr:col>
      <xdr:colOff>38539</xdr:colOff>
      <xdr:row>63</xdr:row>
      <xdr:rowOff>32396</xdr:rowOff>
    </xdr:from>
    <xdr:ext cx="2000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11</xdr:col>
      <xdr:colOff>38539</xdr:colOff>
      <xdr:row>64</xdr:row>
      <xdr:rowOff>32396</xdr:rowOff>
    </xdr:from>
    <xdr:ext cx="2000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11</xdr:col>
      <xdr:colOff>38539</xdr:colOff>
      <xdr:row>65</xdr:row>
      <xdr:rowOff>32396</xdr:rowOff>
    </xdr:from>
    <xdr:ext cx="2000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11</xdr:col>
      <xdr:colOff>38539</xdr:colOff>
      <xdr:row>66</xdr:row>
      <xdr:rowOff>32396</xdr:rowOff>
    </xdr:from>
    <xdr:ext cx="2000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11</xdr:col>
      <xdr:colOff>38539</xdr:colOff>
      <xdr:row>67</xdr:row>
      <xdr:rowOff>32396</xdr:rowOff>
    </xdr:from>
    <xdr:ext cx="2000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12</xdr:col>
      <xdr:colOff>41181</xdr:colOff>
      <xdr:row>12</xdr:row>
      <xdr:rowOff>24845</xdr:rowOff>
    </xdr:from>
    <xdr:ext cx="23812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12</xdr:col>
      <xdr:colOff>41181</xdr:colOff>
      <xdr:row>13</xdr:row>
      <xdr:rowOff>24845</xdr:rowOff>
    </xdr:from>
    <xdr:ext cx="23812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12</xdr:col>
      <xdr:colOff>41181</xdr:colOff>
      <xdr:row>14</xdr:row>
      <xdr:rowOff>24845</xdr:rowOff>
    </xdr:from>
    <xdr:ext cx="23812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12</xdr:col>
      <xdr:colOff>38539</xdr:colOff>
      <xdr:row>63</xdr:row>
      <xdr:rowOff>32396</xdr:rowOff>
    </xdr:from>
    <xdr:ext cx="2000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12</xdr:col>
      <xdr:colOff>38539</xdr:colOff>
      <xdr:row>64</xdr:row>
      <xdr:rowOff>32396</xdr:rowOff>
    </xdr:from>
    <xdr:ext cx="2000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12</xdr:col>
      <xdr:colOff>38539</xdr:colOff>
      <xdr:row>65</xdr:row>
      <xdr:rowOff>32396</xdr:rowOff>
    </xdr:from>
    <xdr:ext cx="2000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12</xdr:col>
      <xdr:colOff>38539</xdr:colOff>
      <xdr:row>66</xdr:row>
      <xdr:rowOff>32396</xdr:rowOff>
    </xdr:from>
    <xdr:ext cx="2000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12</xdr:col>
      <xdr:colOff>38539</xdr:colOff>
      <xdr:row>67</xdr:row>
      <xdr:rowOff>32396</xdr:rowOff>
    </xdr:from>
    <xdr:ext cx="2000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13</xdr:col>
      <xdr:colOff>41181</xdr:colOff>
      <xdr:row>12</xdr:row>
      <xdr:rowOff>24845</xdr:rowOff>
    </xdr:from>
    <xdr:ext cx="23812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13</xdr:col>
      <xdr:colOff>41181</xdr:colOff>
      <xdr:row>13</xdr:row>
      <xdr:rowOff>24845</xdr:rowOff>
    </xdr:from>
    <xdr:ext cx="23812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13</xdr:col>
      <xdr:colOff>41181</xdr:colOff>
      <xdr:row>14</xdr:row>
      <xdr:rowOff>24845</xdr:rowOff>
    </xdr:from>
    <xdr:ext cx="23812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13</xdr:col>
      <xdr:colOff>38539</xdr:colOff>
      <xdr:row>63</xdr:row>
      <xdr:rowOff>32396</xdr:rowOff>
    </xdr:from>
    <xdr:ext cx="2000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13</xdr:col>
      <xdr:colOff>38539</xdr:colOff>
      <xdr:row>64</xdr:row>
      <xdr:rowOff>32396</xdr:rowOff>
    </xdr:from>
    <xdr:ext cx="2000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13</xdr:col>
      <xdr:colOff>38539</xdr:colOff>
      <xdr:row>65</xdr:row>
      <xdr:rowOff>32396</xdr:rowOff>
    </xdr:from>
    <xdr:ext cx="2000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13</xdr:col>
      <xdr:colOff>38539</xdr:colOff>
      <xdr:row>66</xdr:row>
      <xdr:rowOff>32396</xdr:rowOff>
    </xdr:from>
    <xdr:ext cx="2000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13</xdr:col>
      <xdr:colOff>38539</xdr:colOff>
      <xdr:row>67</xdr:row>
      <xdr:rowOff>32396</xdr:rowOff>
    </xdr:from>
    <xdr:ext cx="2000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14</xdr:col>
      <xdr:colOff>41181</xdr:colOff>
      <xdr:row>12</xdr:row>
      <xdr:rowOff>24845</xdr:rowOff>
    </xdr:from>
    <xdr:ext cx="23812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14</xdr:col>
      <xdr:colOff>41181</xdr:colOff>
      <xdr:row>13</xdr:row>
      <xdr:rowOff>24845</xdr:rowOff>
    </xdr:from>
    <xdr:ext cx="23812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14</xdr:col>
      <xdr:colOff>41181</xdr:colOff>
      <xdr:row>14</xdr:row>
      <xdr:rowOff>24845</xdr:rowOff>
    </xdr:from>
    <xdr:ext cx="23812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14</xdr:col>
      <xdr:colOff>38539</xdr:colOff>
      <xdr:row>63</xdr:row>
      <xdr:rowOff>32396</xdr:rowOff>
    </xdr:from>
    <xdr:ext cx="2000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14</xdr:col>
      <xdr:colOff>38539</xdr:colOff>
      <xdr:row>64</xdr:row>
      <xdr:rowOff>32396</xdr:rowOff>
    </xdr:from>
    <xdr:ext cx="2000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14</xdr:col>
      <xdr:colOff>38539</xdr:colOff>
      <xdr:row>65</xdr:row>
      <xdr:rowOff>32396</xdr:rowOff>
    </xdr:from>
    <xdr:ext cx="2000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14</xdr:col>
      <xdr:colOff>38539</xdr:colOff>
      <xdr:row>66</xdr:row>
      <xdr:rowOff>32396</xdr:rowOff>
    </xdr:from>
    <xdr:ext cx="2000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14</xdr:col>
      <xdr:colOff>38539</xdr:colOff>
      <xdr:row>67</xdr:row>
      <xdr:rowOff>32396</xdr:rowOff>
    </xdr:from>
    <xdr:ext cx="2000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15</xdr:col>
      <xdr:colOff>41181</xdr:colOff>
      <xdr:row>12</xdr:row>
      <xdr:rowOff>24845</xdr:rowOff>
    </xdr:from>
    <xdr:ext cx="23812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15</xdr:col>
      <xdr:colOff>41181</xdr:colOff>
      <xdr:row>13</xdr:row>
      <xdr:rowOff>24845</xdr:rowOff>
    </xdr:from>
    <xdr:ext cx="23812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15</xdr:col>
      <xdr:colOff>41181</xdr:colOff>
      <xdr:row>14</xdr:row>
      <xdr:rowOff>24845</xdr:rowOff>
    </xdr:from>
    <xdr:ext cx="23812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15</xdr:col>
      <xdr:colOff>38539</xdr:colOff>
      <xdr:row>63</xdr:row>
      <xdr:rowOff>32396</xdr:rowOff>
    </xdr:from>
    <xdr:ext cx="2000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15</xdr:col>
      <xdr:colOff>38539</xdr:colOff>
      <xdr:row>64</xdr:row>
      <xdr:rowOff>32396</xdr:rowOff>
    </xdr:from>
    <xdr:ext cx="2000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15</xdr:col>
      <xdr:colOff>38539</xdr:colOff>
      <xdr:row>65</xdr:row>
      <xdr:rowOff>32396</xdr:rowOff>
    </xdr:from>
    <xdr:ext cx="2000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15</xdr:col>
      <xdr:colOff>38539</xdr:colOff>
      <xdr:row>66</xdr:row>
      <xdr:rowOff>32396</xdr:rowOff>
    </xdr:from>
    <xdr:ext cx="2000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15</xdr:col>
      <xdr:colOff>38539</xdr:colOff>
      <xdr:row>67</xdr:row>
      <xdr:rowOff>32396</xdr:rowOff>
    </xdr:from>
    <xdr:ext cx="2000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16</xdr:col>
      <xdr:colOff>41181</xdr:colOff>
      <xdr:row>12</xdr:row>
      <xdr:rowOff>24845</xdr:rowOff>
    </xdr:from>
    <xdr:ext cx="23812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16</xdr:col>
      <xdr:colOff>41181</xdr:colOff>
      <xdr:row>13</xdr:row>
      <xdr:rowOff>24845</xdr:rowOff>
    </xdr:from>
    <xdr:ext cx="23812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16</xdr:col>
      <xdr:colOff>41181</xdr:colOff>
      <xdr:row>14</xdr:row>
      <xdr:rowOff>24845</xdr:rowOff>
    </xdr:from>
    <xdr:ext cx="23812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16</xdr:col>
      <xdr:colOff>38539</xdr:colOff>
      <xdr:row>63</xdr:row>
      <xdr:rowOff>32396</xdr:rowOff>
    </xdr:from>
    <xdr:ext cx="2000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16</xdr:col>
      <xdr:colOff>38539</xdr:colOff>
      <xdr:row>64</xdr:row>
      <xdr:rowOff>32396</xdr:rowOff>
    </xdr:from>
    <xdr:ext cx="2000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16</xdr:col>
      <xdr:colOff>38539</xdr:colOff>
      <xdr:row>65</xdr:row>
      <xdr:rowOff>32396</xdr:rowOff>
    </xdr:from>
    <xdr:ext cx="2000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16</xdr:col>
      <xdr:colOff>38539</xdr:colOff>
      <xdr:row>66</xdr:row>
      <xdr:rowOff>32396</xdr:rowOff>
    </xdr:from>
    <xdr:ext cx="2000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16</xdr:col>
      <xdr:colOff>38539</xdr:colOff>
      <xdr:row>67</xdr:row>
      <xdr:rowOff>32396</xdr:rowOff>
    </xdr:from>
    <xdr:ext cx="2000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17</xdr:col>
      <xdr:colOff>41181</xdr:colOff>
      <xdr:row>12</xdr:row>
      <xdr:rowOff>24845</xdr:rowOff>
    </xdr:from>
    <xdr:ext cx="23812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17</xdr:col>
      <xdr:colOff>41181</xdr:colOff>
      <xdr:row>13</xdr:row>
      <xdr:rowOff>24845</xdr:rowOff>
    </xdr:from>
    <xdr:ext cx="23812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17</xdr:col>
      <xdr:colOff>41181</xdr:colOff>
      <xdr:row>14</xdr:row>
      <xdr:rowOff>24845</xdr:rowOff>
    </xdr:from>
    <xdr:ext cx="23812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17</xdr:col>
      <xdr:colOff>38539</xdr:colOff>
      <xdr:row>63</xdr:row>
      <xdr:rowOff>32396</xdr:rowOff>
    </xdr:from>
    <xdr:ext cx="2000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17</xdr:col>
      <xdr:colOff>38539</xdr:colOff>
      <xdr:row>64</xdr:row>
      <xdr:rowOff>32396</xdr:rowOff>
    </xdr:from>
    <xdr:ext cx="2000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17</xdr:col>
      <xdr:colOff>38539</xdr:colOff>
      <xdr:row>65</xdr:row>
      <xdr:rowOff>32396</xdr:rowOff>
    </xdr:from>
    <xdr:ext cx="2000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17</xdr:col>
      <xdr:colOff>38539</xdr:colOff>
      <xdr:row>66</xdr:row>
      <xdr:rowOff>32396</xdr:rowOff>
    </xdr:from>
    <xdr:ext cx="2000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17</xdr:col>
      <xdr:colOff>38539</xdr:colOff>
      <xdr:row>67</xdr:row>
      <xdr:rowOff>32396</xdr:rowOff>
    </xdr:from>
    <xdr:ext cx="2000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18</xdr:col>
      <xdr:colOff>41181</xdr:colOff>
      <xdr:row>12</xdr:row>
      <xdr:rowOff>24845</xdr:rowOff>
    </xdr:from>
    <xdr:ext cx="23812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18</xdr:col>
      <xdr:colOff>41181</xdr:colOff>
      <xdr:row>13</xdr:row>
      <xdr:rowOff>24845</xdr:rowOff>
    </xdr:from>
    <xdr:ext cx="23812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18</xdr:col>
      <xdr:colOff>41181</xdr:colOff>
      <xdr:row>14</xdr:row>
      <xdr:rowOff>24845</xdr:rowOff>
    </xdr:from>
    <xdr:ext cx="23812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18</xdr:col>
      <xdr:colOff>38539</xdr:colOff>
      <xdr:row>63</xdr:row>
      <xdr:rowOff>32396</xdr:rowOff>
    </xdr:from>
    <xdr:ext cx="2000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18</xdr:col>
      <xdr:colOff>38539</xdr:colOff>
      <xdr:row>64</xdr:row>
      <xdr:rowOff>32396</xdr:rowOff>
    </xdr:from>
    <xdr:ext cx="2000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18</xdr:col>
      <xdr:colOff>38539</xdr:colOff>
      <xdr:row>65</xdr:row>
      <xdr:rowOff>32396</xdr:rowOff>
    </xdr:from>
    <xdr:ext cx="2000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18</xdr:col>
      <xdr:colOff>38539</xdr:colOff>
      <xdr:row>66</xdr:row>
      <xdr:rowOff>32396</xdr:rowOff>
    </xdr:from>
    <xdr:ext cx="2000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18</xdr:col>
      <xdr:colOff>38539</xdr:colOff>
      <xdr:row>67</xdr:row>
      <xdr:rowOff>32396</xdr:rowOff>
    </xdr:from>
    <xdr:ext cx="2000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19</xdr:col>
      <xdr:colOff>41181</xdr:colOff>
      <xdr:row>12</xdr:row>
      <xdr:rowOff>24845</xdr:rowOff>
    </xdr:from>
    <xdr:ext cx="23812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19</xdr:col>
      <xdr:colOff>41181</xdr:colOff>
      <xdr:row>13</xdr:row>
      <xdr:rowOff>24845</xdr:rowOff>
    </xdr:from>
    <xdr:ext cx="23812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19</xdr:col>
      <xdr:colOff>41181</xdr:colOff>
      <xdr:row>14</xdr:row>
      <xdr:rowOff>24845</xdr:rowOff>
    </xdr:from>
    <xdr:ext cx="23812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19</xdr:col>
      <xdr:colOff>38539</xdr:colOff>
      <xdr:row>63</xdr:row>
      <xdr:rowOff>32396</xdr:rowOff>
    </xdr:from>
    <xdr:ext cx="2000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19</xdr:col>
      <xdr:colOff>38539</xdr:colOff>
      <xdr:row>64</xdr:row>
      <xdr:rowOff>32396</xdr:rowOff>
    </xdr:from>
    <xdr:ext cx="2000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19</xdr:col>
      <xdr:colOff>38539</xdr:colOff>
      <xdr:row>65</xdr:row>
      <xdr:rowOff>32396</xdr:rowOff>
    </xdr:from>
    <xdr:ext cx="2000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19</xdr:col>
      <xdr:colOff>38539</xdr:colOff>
      <xdr:row>66</xdr:row>
      <xdr:rowOff>32396</xdr:rowOff>
    </xdr:from>
    <xdr:ext cx="2000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19</xdr:col>
      <xdr:colOff>38539</xdr:colOff>
      <xdr:row>67</xdr:row>
      <xdr:rowOff>32396</xdr:rowOff>
    </xdr:from>
    <xdr:ext cx="2000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20</xdr:col>
      <xdr:colOff>41181</xdr:colOff>
      <xdr:row>12</xdr:row>
      <xdr:rowOff>24845</xdr:rowOff>
    </xdr:from>
    <xdr:ext cx="23812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20</xdr:col>
      <xdr:colOff>41181</xdr:colOff>
      <xdr:row>13</xdr:row>
      <xdr:rowOff>24845</xdr:rowOff>
    </xdr:from>
    <xdr:ext cx="23812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20</xdr:col>
      <xdr:colOff>41181</xdr:colOff>
      <xdr:row>14</xdr:row>
      <xdr:rowOff>24845</xdr:rowOff>
    </xdr:from>
    <xdr:ext cx="23812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20</xdr:col>
      <xdr:colOff>38539</xdr:colOff>
      <xdr:row>63</xdr:row>
      <xdr:rowOff>32396</xdr:rowOff>
    </xdr:from>
    <xdr:ext cx="2000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20</xdr:col>
      <xdr:colOff>38539</xdr:colOff>
      <xdr:row>64</xdr:row>
      <xdr:rowOff>32396</xdr:rowOff>
    </xdr:from>
    <xdr:ext cx="2000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20</xdr:col>
      <xdr:colOff>38539</xdr:colOff>
      <xdr:row>65</xdr:row>
      <xdr:rowOff>32396</xdr:rowOff>
    </xdr:from>
    <xdr:ext cx="2000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20</xdr:col>
      <xdr:colOff>38539</xdr:colOff>
      <xdr:row>66</xdr:row>
      <xdr:rowOff>32396</xdr:rowOff>
    </xdr:from>
    <xdr:ext cx="2000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20</xdr:col>
      <xdr:colOff>38539</xdr:colOff>
      <xdr:row>67</xdr:row>
      <xdr:rowOff>32396</xdr:rowOff>
    </xdr:from>
    <xdr:ext cx="2000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21</xdr:col>
      <xdr:colOff>41181</xdr:colOff>
      <xdr:row>12</xdr:row>
      <xdr:rowOff>24845</xdr:rowOff>
    </xdr:from>
    <xdr:ext cx="23812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21</xdr:col>
      <xdr:colOff>41181</xdr:colOff>
      <xdr:row>13</xdr:row>
      <xdr:rowOff>24845</xdr:rowOff>
    </xdr:from>
    <xdr:ext cx="23812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21</xdr:col>
      <xdr:colOff>41181</xdr:colOff>
      <xdr:row>14</xdr:row>
      <xdr:rowOff>24845</xdr:rowOff>
    </xdr:from>
    <xdr:ext cx="23812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21</xdr:col>
      <xdr:colOff>38539</xdr:colOff>
      <xdr:row>63</xdr:row>
      <xdr:rowOff>32396</xdr:rowOff>
    </xdr:from>
    <xdr:ext cx="2000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21</xdr:col>
      <xdr:colOff>38539</xdr:colOff>
      <xdr:row>64</xdr:row>
      <xdr:rowOff>32396</xdr:rowOff>
    </xdr:from>
    <xdr:ext cx="2000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21</xdr:col>
      <xdr:colOff>38539</xdr:colOff>
      <xdr:row>65</xdr:row>
      <xdr:rowOff>32396</xdr:rowOff>
    </xdr:from>
    <xdr:ext cx="2000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21</xdr:col>
      <xdr:colOff>38539</xdr:colOff>
      <xdr:row>66</xdr:row>
      <xdr:rowOff>32396</xdr:rowOff>
    </xdr:from>
    <xdr:ext cx="2000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21</xdr:col>
      <xdr:colOff>38539</xdr:colOff>
      <xdr:row>67</xdr:row>
      <xdr:rowOff>32396</xdr:rowOff>
    </xdr:from>
    <xdr:ext cx="2000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22</xdr:col>
      <xdr:colOff>41181</xdr:colOff>
      <xdr:row>12</xdr:row>
      <xdr:rowOff>24845</xdr:rowOff>
    </xdr:from>
    <xdr:ext cx="23812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22</xdr:col>
      <xdr:colOff>41181</xdr:colOff>
      <xdr:row>13</xdr:row>
      <xdr:rowOff>24845</xdr:rowOff>
    </xdr:from>
    <xdr:ext cx="23812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22</xdr:col>
      <xdr:colOff>41181</xdr:colOff>
      <xdr:row>14</xdr:row>
      <xdr:rowOff>24845</xdr:rowOff>
    </xdr:from>
    <xdr:ext cx="23812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22</xdr:col>
      <xdr:colOff>38539</xdr:colOff>
      <xdr:row>63</xdr:row>
      <xdr:rowOff>32396</xdr:rowOff>
    </xdr:from>
    <xdr:ext cx="2000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22</xdr:col>
      <xdr:colOff>38539</xdr:colOff>
      <xdr:row>64</xdr:row>
      <xdr:rowOff>32396</xdr:rowOff>
    </xdr:from>
    <xdr:ext cx="2000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22</xdr:col>
      <xdr:colOff>38539</xdr:colOff>
      <xdr:row>65</xdr:row>
      <xdr:rowOff>32396</xdr:rowOff>
    </xdr:from>
    <xdr:ext cx="2000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22</xdr:col>
      <xdr:colOff>38539</xdr:colOff>
      <xdr:row>66</xdr:row>
      <xdr:rowOff>32396</xdr:rowOff>
    </xdr:from>
    <xdr:ext cx="2000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22</xdr:col>
      <xdr:colOff>38539</xdr:colOff>
      <xdr:row>67</xdr:row>
      <xdr:rowOff>32396</xdr:rowOff>
    </xdr:from>
    <xdr:ext cx="2000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23</xdr:col>
      <xdr:colOff>41181</xdr:colOff>
      <xdr:row>12</xdr:row>
      <xdr:rowOff>24845</xdr:rowOff>
    </xdr:from>
    <xdr:ext cx="23812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23</xdr:col>
      <xdr:colOff>41181</xdr:colOff>
      <xdr:row>13</xdr:row>
      <xdr:rowOff>24845</xdr:rowOff>
    </xdr:from>
    <xdr:ext cx="23812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23</xdr:col>
      <xdr:colOff>41181</xdr:colOff>
      <xdr:row>14</xdr:row>
      <xdr:rowOff>24845</xdr:rowOff>
    </xdr:from>
    <xdr:ext cx="23812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23</xdr:col>
      <xdr:colOff>38539</xdr:colOff>
      <xdr:row>63</xdr:row>
      <xdr:rowOff>32396</xdr:rowOff>
    </xdr:from>
    <xdr:ext cx="2000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23</xdr:col>
      <xdr:colOff>38539</xdr:colOff>
      <xdr:row>64</xdr:row>
      <xdr:rowOff>32396</xdr:rowOff>
    </xdr:from>
    <xdr:ext cx="2000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23</xdr:col>
      <xdr:colOff>38539</xdr:colOff>
      <xdr:row>65</xdr:row>
      <xdr:rowOff>32396</xdr:rowOff>
    </xdr:from>
    <xdr:ext cx="2000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23</xdr:col>
      <xdr:colOff>38539</xdr:colOff>
      <xdr:row>66</xdr:row>
      <xdr:rowOff>32396</xdr:rowOff>
    </xdr:from>
    <xdr:ext cx="2000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23</xdr:col>
      <xdr:colOff>38539</xdr:colOff>
      <xdr:row>67</xdr:row>
      <xdr:rowOff>32396</xdr:rowOff>
    </xdr:from>
    <xdr:ext cx="2000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24</xdr:col>
      <xdr:colOff>41181</xdr:colOff>
      <xdr:row>12</xdr:row>
      <xdr:rowOff>24845</xdr:rowOff>
    </xdr:from>
    <xdr:ext cx="23812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24</xdr:col>
      <xdr:colOff>41181</xdr:colOff>
      <xdr:row>13</xdr:row>
      <xdr:rowOff>24845</xdr:rowOff>
    </xdr:from>
    <xdr:ext cx="23812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24</xdr:col>
      <xdr:colOff>41181</xdr:colOff>
      <xdr:row>14</xdr:row>
      <xdr:rowOff>24845</xdr:rowOff>
    </xdr:from>
    <xdr:ext cx="23812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24</xdr:col>
      <xdr:colOff>38539</xdr:colOff>
      <xdr:row>63</xdr:row>
      <xdr:rowOff>32396</xdr:rowOff>
    </xdr:from>
    <xdr:ext cx="2000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24</xdr:col>
      <xdr:colOff>38539</xdr:colOff>
      <xdr:row>64</xdr:row>
      <xdr:rowOff>32396</xdr:rowOff>
    </xdr:from>
    <xdr:ext cx="2000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24</xdr:col>
      <xdr:colOff>38539</xdr:colOff>
      <xdr:row>65</xdr:row>
      <xdr:rowOff>32396</xdr:rowOff>
    </xdr:from>
    <xdr:ext cx="2000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24</xdr:col>
      <xdr:colOff>38539</xdr:colOff>
      <xdr:row>66</xdr:row>
      <xdr:rowOff>32396</xdr:rowOff>
    </xdr:from>
    <xdr:ext cx="2000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24</xdr:col>
      <xdr:colOff>38539</xdr:colOff>
      <xdr:row>67</xdr:row>
      <xdr:rowOff>32396</xdr:rowOff>
    </xdr:from>
    <xdr:ext cx="2000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25</xdr:col>
      <xdr:colOff>41181</xdr:colOff>
      <xdr:row>12</xdr:row>
      <xdr:rowOff>24845</xdr:rowOff>
    </xdr:from>
    <xdr:ext cx="23812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25</xdr:col>
      <xdr:colOff>41181</xdr:colOff>
      <xdr:row>13</xdr:row>
      <xdr:rowOff>24845</xdr:rowOff>
    </xdr:from>
    <xdr:ext cx="23812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25</xdr:col>
      <xdr:colOff>41181</xdr:colOff>
      <xdr:row>14</xdr:row>
      <xdr:rowOff>24845</xdr:rowOff>
    </xdr:from>
    <xdr:ext cx="23812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25</xdr:col>
      <xdr:colOff>38539</xdr:colOff>
      <xdr:row>63</xdr:row>
      <xdr:rowOff>32396</xdr:rowOff>
    </xdr:from>
    <xdr:ext cx="2000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25</xdr:col>
      <xdr:colOff>38539</xdr:colOff>
      <xdr:row>64</xdr:row>
      <xdr:rowOff>32396</xdr:rowOff>
    </xdr:from>
    <xdr:ext cx="2000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25</xdr:col>
      <xdr:colOff>38539</xdr:colOff>
      <xdr:row>65</xdr:row>
      <xdr:rowOff>32396</xdr:rowOff>
    </xdr:from>
    <xdr:ext cx="2000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25</xdr:col>
      <xdr:colOff>38539</xdr:colOff>
      <xdr:row>66</xdr:row>
      <xdr:rowOff>32396</xdr:rowOff>
    </xdr:from>
    <xdr:ext cx="2000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25</xdr:col>
      <xdr:colOff>38539</xdr:colOff>
      <xdr:row>67</xdr:row>
      <xdr:rowOff>32396</xdr:rowOff>
    </xdr:from>
    <xdr:ext cx="2000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26</xdr:col>
      <xdr:colOff>41181</xdr:colOff>
      <xdr:row>12</xdr:row>
      <xdr:rowOff>24845</xdr:rowOff>
    </xdr:from>
    <xdr:ext cx="23812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26</xdr:col>
      <xdr:colOff>41181</xdr:colOff>
      <xdr:row>13</xdr:row>
      <xdr:rowOff>24845</xdr:rowOff>
    </xdr:from>
    <xdr:ext cx="23812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26</xdr:col>
      <xdr:colOff>41181</xdr:colOff>
      <xdr:row>14</xdr:row>
      <xdr:rowOff>24845</xdr:rowOff>
    </xdr:from>
    <xdr:ext cx="23812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26</xdr:col>
      <xdr:colOff>38539</xdr:colOff>
      <xdr:row>63</xdr:row>
      <xdr:rowOff>32396</xdr:rowOff>
    </xdr:from>
    <xdr:ext cx="2000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26</xdr:col>
      <xdr:colOff>38539</xdr:colOff>
      <xdr:row>64</xdr:row>
      <xdr:rowOff>32396</xdr:rowOff>
    </xdr:from>
    <xdr:ext cx="2000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26</xdr:col>
      <xdr:colOff>38539</xdr:colOff>
      <xdr:row>65</xdr:row>
      <xdr:rowOff>32396</xdr:rowOff>
    </xdr:from>
    <xdr:ext cx="2000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26</xdr:col>
      <xdr:colOff>38539</xdr:colOff>
      <xdr:row>66</xdr:row>
      <xdr:rowOff>32396</xdr:rowOff>
    </xdr:from>
    <xdr:ext cx="2000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26</xdr:col>
      <xdr:colOff>38539</xdr:colOff>
      <xdr:row>67</xdr:row>
      <xdr:rowOff>32396</xdr:rowOff>
    </xdr:from>
    <xdr:ext cx="2000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27</xdr:col>
      <xdr:colOff>41181</xdr:colOff>
      <xdr:row>12</xdr:row>
      <xdr:rowOff>24845</xdr:rowOff>
    </xdr:from>
    <xdr:ext cx="23812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27</xdr:col>
      <xdr:colOff>41181</xdr:colOff>
      <xdr:row>13</xdr:row>
      <xdr:rowOff>24845</xdr:rowOff>
    </xdr:from>
    <xdr:ext cx="23812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27</xdr:col>
      <xdr:colOff>41181</xdr:colOff>
      <xdr:row>14</xdr:row>
      <xdr:rowOff>24845</xdr:rowOff>
    </xdr:from>
    <xdr:ext cx="23812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27</xdr:col>
      <xdr:colOff>38539</xdr:colOff>
      <xdr:row>63</xdr:row>
      <xdr:rowOff>32396</xdr:rowOff>
    </xdr:from>
    <xdr:ext cx="2000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27</xdr:col>
      <xdr:colOff>38539</xdr:colOff>
      <xdr:row>64</xdr:row>
      <xdr:rowOff>32396</xdr:rowOff>
    </xdr:from>
    <xdr:ext cx="2000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27</xdr:col>
      <xdr:colOff>38539</xdr:colOff>
      <xdr:row>65</xdr:row>
      <xdr:rowOff>32396</xdr:rowOff>
    </xdr:from>
    <xdr:ext cx="2000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27</xdr:col>
      <xdr:colOff>38539</xdr:colOff>
      <xdr:row>66</xdr:row>
      <xdr:rowOff>32396</xdr:rowOff>
    </xdr:from>
    <xdr:ext cx="2000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27</xdr:col>
      <xdr:colOff>38539</xdr:colOff>
      <xdr:row>67</xdr:row>
      <xdr:rowOff>32396</xdr:rowOff>
    </xdr:from>
    <xdr:ext cx="2000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28</xdr:col>
      <xdr:colOff>41181</xdr:colOff>
      <xdr:row>12</xdr:row>
      <xdr:rowOff>24845</xdr:rowOff>
    </xdr:from>
    <xdr:ext cx="23812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28</xdr:col>
      <xdr:colOff>41181</xdr:colOff>
      <xdr:row>13</xdr:row>
      <xdr:rowOff>24845</xdr:rowOff>
    </xdr:from>
    <xdr:ext cx="23812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28</xdr:col>
      <xdr:colOff>41181</xdr:colOff>
      <xdr:row>14</xdr:row>
      <xdr:rowOff>24845</xdr:rowOff>
    </xdr:from>
    <xdr:ext cx="23812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28</xdr:col>
      <xdr:colOff>38539</xdr:colOff>
      <xdr:row>63</xdr:row>
      <xdr:rowOff>32396</xdr:rowOff>
    </xdr:from>
    <xdr:ext cx="2000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28</xdr:col>
      <xdr:colOff>38539</xdr:colOff>
      <xdr:row>64</xdr:row>
      <xdr:rowOff>32396</xdr:rowOff>
    </xdr:from>
    <xdr:ext cx="2000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28</xdr:col>
      <xdr:colOff>38539</xdr:colOff>
      <xdr:row>65</xdr:row>
      <xdr:rowOff>32396</xdr:rowOff>
    </xdr:from>
    <xdr:ext cx="2000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28</xdr:col>
      <xdr:colOff>38539</xdr:colOff>
      <xdr:row>66</xdr:row>
      <xdr:rowOff>32396</xdr:rowOff>
    </xdr:from>
    <xdr:ext cx="2000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28</xdr:col>
      <xdr:colOff>38539</xdr:colOff>
      <xdr:row>67</xdr:row>
      <xdr:rowOff>32396</xdr:rowOff>
    </xdr:from>
    <xdr:ext cx="2000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29</xdr:col>
      <xdr:colOff>41181</xdr:colOff>
      <xdr:row>12</xdr:row>
      <xdr:rowOff>24845</xdr:rowOff>
    </xdr:from>
    <xdr:ext cx="23812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29</xdr:col>
      <xdr:colOff>41181</xdr:colOff>
      <xdr:row>13</xdr:row>
      <xdr:rowOff>24845</xdr:rowOff>
    </xdr:from>
    <xdr:ext cx="23812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29</xdr:col>
      <xdr:colOff>41181</xdr:colOff>
      <xdr:row>14</xdr:row>
      <xdr:rowOff>24845</xdr:rowOff>
    </xdr:from>
    <xdr:ext cx="23812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29</xdr:col>
      <xdr:colOff>38539</xdr:colOff>
      <xdr:row>63</xdr:row>
      <xdr:rowOff>32396</xdr:rowOff>
    </xdr:from>
    <xdr:ext cx="2000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29</xdr:col>
      <xdr:colOff>38539</xdr:colOff>
      <xdr:row>64</xdr:row>
      <xdr:rowOff>32396</xdr:rowOff>
    </xdr:from>
    <xdr:ext cx="2000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29</xdr:col>
      <xdr:colOff>38539</xdr:colOff>
      <xdr:row>65</xdr:row>
      <xdr:rowOff>32396</xdr:rowOff>
    </xdr:from>
    <xdr:ext cx="2000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29</xdr:col>
      <xdr:colOff>38539</xdr:colOff>
      <xdr:row>66</xdr:row>
      <xdr:rowOff>32396</xdr:rowOff>
    </xdr:from>
    <xdr:ext cx="2000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29</xdr:col>
      <xdr:colOff>38539</xdr:colOff>
      <xdr:row>67</xdr:row>
      <xdr:rowOff>32396</xdr:rowOff>
    </xdr:from>
    <xdr:ext cx="2000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41482</xdr:colOff>
      <xdr:row>12</xdr:row>
      <xdr:rowOff>24845</xdr:rowOff>
    </xdr:from>
    <xdr:ext cx="62865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41482</xdr:colOff>
      <xdr:row>13</xdr:row>
      <xdr:rowOff>24845</xdr:rowOff>
    </xdr:from>
    <xdr:ext cx="62865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41482</xdr:colOff>
      <xdr:row>14</xdr:row>
      <xdr:rowOff>24845</xdr:rowOff>
    </xdr:from>
    <xdr:ext cx="62865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39575</xdr:colOff>
      <xdr:row>63</xdr:row>
      <xdr:rowOff>32396</xdr:rowOff>
    </xdr:from>
    <xdr:ext cx="590550"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39575</xdr:colOff>
      <xdr:row>64</xdr:row>
      <xdr:rowOff>32396</xdr:rowOff>
    </xdr:from>
    <xdr:ext cx="590550"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39575</xdr:colOff>
      <xdr:row>65</xdr:row>
      <xdr:rowOff>32396</xdr:rowOff>
    </xdr:from>
    <xdr:ext cx="590550"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39575</xdr:colOff>
      <xdr:row>66</xdr:row>
      <xdr:rowOff>32396</xdr:rowOff>
    </xdr:from>
    <xdr:ext cx="590550"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39575</xdr:colOff>
      <xdr:row>67</xdr:row>
      <xdr:rowOff>32396</xdr:rowOff>
    </xdr:from>
    <xdr:ext cx="590550"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5</xdr:col>
      <xdr:colOff>48386</xdr:colOff>
      <xdr:row>63</xdr:row>
      <xdr:rowOff>32396</xdr:rowOff>
    </xdr:from>
    <xdr:ext cx="2000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38539</xdr:colOff>
      <xdr:row>63</xdr:row>
      <xdr:rowOff>32396</xdr:rowOff>
    </xdr:from>
    <xdr:ext cx="2000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38539</xdr:colOff>
      <xdr:row>63</xdr:row>
      <xdr:rowOff>32396</xdr:rowOff>
    </xdr:from>
    <xdr:ext cx="2000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38539</xdr:colOff>
      <xdr:row>63</xdr:row>
      <xdr:rowOff>32396</xdr:rowOff>
    </xdr:from>
    <xdr:ext cx="2000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9</xdr:col>
      <xdr:colOff>38539</xdr:colOff>
      <xdr:row>63</xdr:row>
      <xdr:rowOff>32396</xdr:rowOff>
    </xdr:from>
    <xdr:ext cx="2000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10</xdr:col>
      <xdr:colOff>38539</xdr:colOff>
      <xdr:row>63</xdr:row>
      <xdr:rowOff>32396</xdr:rowOff>
    </xdr:from>
    <xdr:ext cx="2000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11</xdr:col>
      <xdr:colOff>38539</xdr:colOff>
      <xdr:row>63</xdr:row>
      <xdr:rowOff>32396</xdr:rowOff>
    </xdr:from>
    <xdr:ext cx="2000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12</xdr:col>
      <xdr:colOff>38539</xdr:colOff>
      <xdr:row>63</xdr:row>
      <xdr:rowOff>32396</xdr:rowOff>
    </xdr:from>
    <xdr:ext cx="2000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13</xdr:col>
      <xdr:colOff>38539</xdr:colOff>
      <xdr:row>63</xdr:row>
      <xdr:rowOff>32396</xdr:rowOff>
    </xdr:from>
    <xdr:ext cx="2000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14</xdr:col>
      <xdr:colOff>38539</xdr:colOff>
      <xdr:row>63</xdr:row>
      <xdr:rowOff>32396</xdr:rowOff>
    </xdr:from>
    <xdr:ext cx="2000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15</xdr:col>
      <xdr:colOff>38539</xdr:colOff>
      <xdr:row>63</xdr:row>
      <xdr:rowOff>32396</xdr:rowOff>
    </xdr:from>
    <xdr:ext cx="2000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16</xdr:col>
      <xdr:colOff>38539</xdr:colOff>
      <xdr:row>63</xdr:row>
      <xdr:rowOff>32396</xdr:rowOff>
    </xdr:from>
    <xdr:ext cx="2000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17</xdr:col>
      <xdr:colOff>38539</xdr:colOff>
      <xdr:row>63</xdr:row>
      <xdr:rowOff>32396</xdr:rowOff>
    </xdr:from>
    <xdr:ext cx="2000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18</xdr:col>
      <xdr:colOff>38539</xdr:colOff>
      <xdr:row>63</xdr:row>
      <xdr:rowOff>32396</xdr:rowOff>
    </xdr:from>
    <xdr:ext cx="2000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19</xdr:col>
      <xdr:colOff>38539</xdr:colOff>
      <xdr:row>63</xdr:row>
      <xdr:rowOff>32396</xdr:rowOff>
    </xdr:from>
    <xdr:ext cx="2000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20</xdr:col>
      <xdr:colOff>38539</xdr:colOff>
      <xdr:row>63</xdr:row>
      <xdr:rowOff>32396</xdr:rowOff>
    </xdr:from>
    <xdr:ext cx="2000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21</xdr:col>
      <xdr:colOff>38539</xdr:colOff>
      <xdr:row>63</xdr:row>
      <xdr:rowOff>32396</xdr:rowOff>
    </xdr:from>
    <xdr:ext cx="2000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22</xdr:col>
      <xdr:colOff>38539</xdr:colOff>
      <xdr:row>63</xdr:row>
      <xdr:rowOff>32396</xdr:rowOff>
    </xdr:from>
    <xdr:ext cx="2000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23</xdr:col>
      <xdr:colOff>38539</xdr:colOff>
      <xdr:row>63</xdr:row>
      <xdr:rowOff>32396</xdr:rowOff>
    </xdr:from>
    <xdr:ext cx="20002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24</xdr:col>
      <xdr:colOff>38539</xdr:colOff>
      <xdr:row>63</xdr:row>
      <xdr:rowOff>32396</xdr:rowOff>
    </xdr:from>
    <xdr:ext cx="2000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25</xdr:col>
      <xdr:colOff>38539</xdr:colOff>
      <xdr:row>63</xdr:row>
      <xdr:rowOff>32396</xdr:rowOff>
    </xdr:from>
    <xdr:ext cx="2000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26</xdr:col>
      <xdr:colOff>38539</xdr:colOff>
      <xdr:row>63</xdr:row>
      <xdr:rowOff>32396</xdr:rowOff>
    </xdr:from>
    <xdr:ext cx="2000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41</xdr:col>
      <xdr:colOff>39575</xdr:colOff>
      <xdr:row>63</xdr:row>
      <xdr:rowOff>32396</xdr:rowOff>
    </xdr:from>
    <xdr:ext cx="590550"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5</xdr:col>
      <xdr:colOff>48386</xdr:colOff>
      <xdr:row>64</xdr:row>
      <xdr:rowOff>32396</xdr:rowOff>
    </xdr:from>
    <xdr:ext cx="2000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6</xdr:col>
      <xdr:colOff>38539</xdr:colOff>
      <xdr:row>64</xdr:row>
      <xdr:rowOff>32396</xdr:rowOff>
    </xdr:from>
    <xdr:ext cx="2000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38539</xdr:colOff>
      <xdr:row>64</xdr:row>
      <xdr:rowOff>32396</xdr:rowOff>
    </xdr:from>
    <xdr:ext cx="2000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38539</xdr:colOff>
      <xdr:row>64</xdr:row>
      <xdr:rowOff>32396</xdr:rowOff>
    </xdr:from>
    <xdr:ext cx="2000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9</xdr:col>
      <xdr:colOff>38539</xdr:colOff>
      <xdr:row>64</xdr:row>
      <xdr:rowOff>32396</xdr:rowOff>
    </xdr:from>
    <xdr:ext cx="2000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10</xdr:col>
      <xdr:colOff>38539</xdr:colOff>
      <xdr:row>64</xdr:row>
      <xdr:rowOff>32396</xdr:rowOff>
    </xdr:from>
    <xdr:ext cx="2000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11</xdr:col>
      <xdr:colOff>38539</xdr:colOff>
      <xdr:row>64</xdr:row>
      <xdr:rowOff>32396</xdr:rowOff>
    </xdr:from>
    <xdr:ext cx="2000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12</xdr:col>
      <xdr:colOff>38539</xdr:colOff>
      <xdr:row>64</xdr:row>
      <xdr:rowOff>32396</xdr:rowOff>
    </xdr:from>
    <xdr:ext cx="2000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13</xdr:col>
      <xdr:colOff>38539</xdr:colOff>
      <xdr:row>64</xdr:row>
      <xdr:rowOff>32396</xdr:rowOff>
    </xdr:from>
    <xdr:ext cx="2000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14</xdr:col>
      <xdr:colOff>38539</xdr:colOff>
      <xdr:row>64</xdr:row>
      <xdr:rowOff>32396</xdr:rowOff>
    </xdr:from>
    <xdr:ext cx="2000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15</xdr:col>
      <xdr:colOff>38539</xdr:colOff>
      <xdr:row>64</xdr:row>
      <xdr:rowOff>32396</xdr:rowOff>
    </xdr:from>
    <xdr:ext cx="2000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16</xdr:col>
      <xdr:colOff>38539</xdr:colOff>
      <xdr:row>64</xdr:row>
      <xdr:rowOff>32396</xdr:rowOff>
    </xdr:from>
    <xdr:ext cx="2000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17</xdr:col>
      <xdr:colOff>38539</xdr:colOff>
      <xdr:row>64</xdr:row>
      <xdr:rowOff>32396</xdr:rowOff>
    </xdr:from>
    <xdr:ext cx="2000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18</xdr:col>
      <xdr:colOff>38539</xdr:colOff>
      <xdr:row>64</xdr:row>
      <xdr:rowOff>32396</xdr:rowOff>
    </xdr:from>
    <xdr:ext cx="2000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19</xdr:col>
      <xdr:colOff>38539</xdr:colOff>
      <xdr:row>64</xdr:row>
      <xdr:rowOff>32396</xdr:rowOff>
    </xdr:from>
    <xdr:ext cx="2000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20</xdr:col>
      <xdr:colOff>38539</xdr:colOff>
      <xdr:row>64</xdr:row>
      <xdr:rowOff>32396</xdr:rowOff>
    </xdr:from>
    <xdr:ext cx="2000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21</xdr:col>
      <xdr:colOff>38539</xdr:colOff>
      <xdr:row>64</xdr:row>
      <xdr:rowOff>32396</xdr:rowOff>
    </xdr:from>
    <xdr:ext cx="2000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22</xdr:col>
      <xdr:colOff>38539</xdr:colOff>
      <xdr:row>64</xdr:row>
      <xdr:rowOff>32396</xdr:rowOff>
    </xdr:from>
    <xdr:ext cx="20002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23</xdr:col>
      <xdr:colOff>38539</xdr:colOff>
      <xdr:row>64</xdr:row>
      <xdr:rowOff>32396</xdr:rowOff>
    </xdr:from>
    <xdr:ext cx="2000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24</xdr:col>
      <xdr:colOff>38539</xdr:colOff>
      <xdr:row>64</xdr:row>
      <xdr:rowOff>32396</xdr:rowOff>
    </xdr:from>
    <xdr:ext cx="2000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25</xdr:col>
      <xdr:colOff>38539</xdr:colOff>
      <xdr:row>64</xdr:row>
      <xdr:rowOff>32396</xdr:rowOff>
    </xdr:from>
    <xdr:ext cx="2000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26</xdr:col>
      <xdr:colOff>38539</xdr:colOff>
      <xdr:row>64</xdr:row>
      <xdr:rowOff>32396</xdr:rowOff>
    </xdr:from>
    <xdr:ext cx="2000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41</xdr:col>
      <xdr:colOff>39575</xdr:colOff>
      <xdr:row>64</xdr:row>
      <xdr:rowOff>32396</xdr:rowOff>
    </xdr:from>
    <xdr:ext cx="590550"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5</xdr:col>
      <xdr:colOff>48386</xdr:colOff>
      <xdr:row>65</xdr:row>
      <xdr:rowOff>32396</xdr:rowOff>
    </xdr:from>
    <xdr:ext cx="2000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6</xdr:col>
      <xdr:colOff>38539</xdr:colOff>
      <xdr:row>65</xdr:row>
      <xdr:rowOff>32396</xdr:rowOff>
    </xdr:from>
    <xdr:ext cx="2000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38539</xdr:colOff>
      <xdr:row>65</xdr:row>
      <xdr:rowOff>32396</xdr:rowOff>
    </xdr:from>
    <xdr:ext cx="2000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38539</xdr:colOff>
      <xdr:row>65</xdr:row>
      <xdr:rowOff>32396</xdr:rowOff>
    </xdr:from>
    <xdr:ext cx="2000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9</xdr:col>
      <xdr:colOff>38539</xdr:colOff>
      <xdr:row>65</xdr:row>
      <xdr:rowOff>32396</xdr:rowOff>
    </xdr:from>
    <xdr:ext cx="2000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10</xdr:col>
      <xdr:colOff>38539</xdr:colOff>
      <xdr:row>65</xdr:row>
      <xdr:rowOff>32396</xdr:rowOff>
    </xdr:from>
    <xdr:ext cx="2000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11</xdr:col>
      <xdr:colOff>38539</xdr:colOff>
      <xdr:row>65</xdr:row>
      <xdr:rowOff>32396</xdr:rowOff>
    </xdr:from>
    <xdr:ext cx="2000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12</xdr:col>
      <xdr:colOff>38539</xdr:colOff>
      <xdr:row>65</xdr:row>
      <xdr:rowOff>32396</xdr:rowOff>
    </xdr:from>
    <xdr:ext cx="2000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13</xdr:col>
      <xdr:colOff>38539</xdr:colOff>
      <xdr:row>65</xdr:row>
      <xdr:rowOff>32396</xdr:rowOff>
    </xdr:from>
    <xdr:ext cx="2000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14</xdr:col>
      <xdr:colOff>38539</xdr:colOff>
      <xdr:row>65</xdr:row>
      <xdr:rowOff>32396</xdr:rowOff>
    </xdr:from>
    <xdr:ext cx="2000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15</xdr:col>
      <xdr:colOff>38539</xdr:colOff>
      <xdr:row>65</xdr:row>
      <xdr:rowOff>32396</xdr:rowOff>
    </xdr:from>
    <xdr:ext cx="2000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16</xdr:col>
      <xdr:colOff>38539</xdr:colOff>
      <xdr:row>65</xdr:row>
      <xdr:rowOff>32396</xdr:rowOff>
    </xdr:from>
    <xdr:ext cx="2000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17</xdr:col>
      <xdr:colOff>38539</xdr:colOff>
      <xdr:row>65</xdr:row>
      <xdr:rowOff>32396</xdr:rowOff>
    </xdr:from>
    <xdr:ext cx="2000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18</xdr:col>
      <xdr:colOff>38539</xdr:colOff>
      <xdr:row>65</xdr:row>
      <xdr:rowOff>32396</xdr:rowOff>
    </xdr:from>
    <xdr:ext cx="2000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19</xdr:col>
      <xdr:colOff>38539</xdr:colOff>
      <xdr:row>65</xdr:row>
      <xdr:rowOff>32396</xdr:rowOff>
    </xdr:from>
    <xdr:ext cx="2000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20</xdr:col>
      <xdr:colOff>38539</xdr:colOff>
      <xdr:row>65</xdr:row>
      <xdr:rowOff>32396</xdr:rowOff>
    </xdr:from>
    <xdr:ext cx="2000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21</xdr:col>
      <xdr:colOff>38539</xdr:colOff>
      <xdr:row>65</xdr:row>
      <xdr:rowOff>32396</xdr:rowOff>
    </xdr:from>
    <xdr:ext cx="20002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22</xdr:col>
      <xdr:colOff>38539</xdr:colOff>
      <xdr:row>65</xdr:row>
      <xdr:rowOff>32396</xdr:rowOff>
    </xdr:from>
    <xdr:ext cx="2000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23</xdr:col>
      <xdr:colOff>38539</xdr:colOff>
      <xdr:row>65</xdr:row>
      <xdr:rowOff>32396</xdr:rowOff>
    </xdr:from>
    <xdr:ext cx="2000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24</xdr:col>
      <xdr:colOff>38539</xdr:colOff>
      <xdr:row>65</xdr:row>
      <xdr:rowOff>32396</xdr:rowOff>
    </xdr:from>
    <xdr:ext cx="2000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25</xdr:col>
      <xdr:colOff>38539</xdr:colOff>
      <xdr:row>65</xdr:row>
      <xdr:rowOff>32396</xdr:rowOff>
    </xdr:from>
    <xdr:ext cx="2000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26</xdr:col>
      <xdr:colOff>38539</xdr:colOff>
      <xdr:row>65</xdr:row>
      <xdr:rowOff>32396</xdr:rowOff>
    </xdr:from>
    <xdr:ext cx="2000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41</xdr:col>
      <xdr:colOff>39575</xdr:colOff>
      <xdr:row>65</xdr:row>
      <xdr:rowOff>32396</xdr:rowOff>
    </xdr:from>
    <xdr:ext cx="590550"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5</xdr:col>
      <xdr:colOff>48386</xdr:colOff>
      <xdr:row>66</xdr:row>
      <xdr:rowOff>32396</xdr:rowOff>
    </xdr:from>
    <xdr:ext cx="2000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6</xdr:col>
      <xdr:colOff>38539</xdr:colOff>
      <xdr:row>66</xdr:row>
      <xdr:rowOff>32396</xdr:rowOff>
    </xdr:from>
    <xdr:ext cx="2000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38539</xdr:colOff>
      <xdr:row>66</xdr:row>
      <xdr:rowOff>32396</xdr:rowOff>
    </xdr:from>
    <xdr:ext cx="2000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38539</xdr:colOff>
      <xdr:row>66</xdr:row>
      <xdr:rowOff>32396</xdr:rowOff>
    </xdr:from>
    <xdr:ext cx="2000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9</xdr:col>
      <xdr:colOff>38539</xdr:colOff>
      <xdr:row>66</xdr:row>
      <xdr:rowOff>32396</xdr:rowOff>
    </xdr:from>
    <xdr:ext cx="2000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10</xdr:col>
      <xdr:colOff>38539</xdr:colOff>
      <xdr:row>66</xdr:row>
      <xdr:rowOff>32396</xdr:rowOff>
    </xdr:from>
    <xdr:ext cx="2000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38539</xdr:colOff>
      <xdr:row>66</xdr:row>
      <xdr:rowOff>32396</xdr:rowOff>
    </xdr:from>
    <xdr:ext cx="2000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38539</xdr:colOff>
      <xdr:row>66</xdr:row>
      <xdr:rowOff>32396</xdr:rowOff>
    </xdr:from>
    <xdr:ext cx="2000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38539</xdr:colOff>
      <xdr:row>66</xdr:row>
      <xdr:rowOff>32396</xdr:rowOff>
    </xdr:from>
    <xdr:ext cx="2000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14</xdr:col>
      <xdr:colOff>38539</xdr:colOff>
      <xdr:row>66</xdr:row>
      <xdr:rowOff>32396</xdr:rowOff>
    </xdr:from>
    <xdr:ext cx="2000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15</xdr:col>
      <xdr:colOff>38539</xdr:colOff>
      <xdr:row>66</xdr:row>
      <xdr:rowOff>32396</xdr:rowOff>
    </xdr:from>
    <xdr:ext cx="2000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16</xdr:col>
      <xdr:colOff>38539</xdr:colOff>
      <xdr:row>66</xdr:row>
      <xdr:rowOff>32396</xdr:rowOff>
    </xdr:from>
    <xdr:ext cx="2000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17</xdr:col>
      <xdr:colOff>38539</xdr:colOff>
      <xdr:row>66</xdr:row>
      <xdr:rowOff>32396</xdr:rowOff>
    </xdr:from>
    <xdr:ext cx="2000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18</xdr:col>
      <xdr:colOff>38539</xdr:colOff>
      <xdr:row>66</xdr:row>
      <xdr:rowOff>32396</xdr:rowOff>
    </xdr:from>
    <xdr:ext cx="2000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19</xdr:col>
      <xdr:colOff>38539</xdr:colOff>
      <xdr:row>66</xdr:row>
      <xdr:rowOff>32396</xdr:rowOff>
    </xdr:from>
    <xdr:ext cx="2000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20</xdr:col>
      <xdr:colOff>38539</xdr:colOff>
      <xdr:row>66</xdr:row>
      <xdr:rowOff>32396</xdr:rowOff>
    </xdr:from>
    <xdr:ext cx="20002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21</xdr:col>
      <xdr:colOff>38539</xdr:colOff>
      <xdr:row>66</xdr:row>
      <xdr:rowOff>32396</xdr:rowOff>
    </xdr:from>
    <xdr:ext cx="2000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22</xdr:col>
      <xdr:colOff>38539</xdr:colOff>
      <xdr:row>66</xdr:row>
      <xdr:rowOff>32396</xdr:rowOff>
    </xdr:from>
    <xdr:ext cx="2000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23</xdr:col>
      <xdr:colOff>38539</xdr:colOff>
      <xdr:row>66</xdr:row>
      <xdr:rowOff>32396</xdr:rowOff>
    </xdr:from>
    <xdr:ext cx="2000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24</xdr:col>
      <xdr:colOff>38539</xdr:colOff>
      <xdr:row>66</xdr:row>
      <xdr:rowOff>32396</xdr:rowOff>
    </xdr:from>
    <xdr:ext cx="2000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25</xdr:col>
      <xdr:colOff>38539</xdr:colOff>
      <xdr:row>66</xdr:row>
      <xdr:rowOff>32396</xdr:rowOff>
    </xdr:from>
    <xdr:ext cx="2000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26</xdr:col>
      <xdr:colOff>38539</xdr:colOff>
      <xdr:row>66</xdr:row>
      <xdr:rowOff>32396</xdr:rowOff>
    </xdr:from>
    <xdr:ext cx="2000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41</xdr:col>
      <xdr:colOff>39575</xdr:colOff>
      <xdr:row>66</xdr:row>
      <xdr:rowOff>32396</xdr:rowOff>
    </xdr:from>
    <xdr:ext cx="590550"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5</xdr:col>
      <xdr:colOff>48386</xdr:colOff>
      <xdr:row>67</xdr:row>
      <xdr:rowOff>32396</xdr:rowOff>
    </xdr:from>
    <xdr:ext cx="2000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6</xdr:col>
      <xdr:colOff>38539</xdr:colOff>
      <xdr:row>67</xdr:row>
      <xdr:rowOff>32396</xdr:rowOff>
    </xdr:from>
    <xdr:ext cx="2000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38539</xdr:colOff>
      <xdr:row>67</xdr:row>
      <xdr:rowOff>32396</xdr:rowOff>
    </xdr:from>
    <xdr:ext cx="2000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38539</xdr:colOff>
      <xdr:row>67</xdr:row>
      <xdr:rowOff>32396</xdr:rowOff>
    </xdr:from>
    <xdr:ext cx="2000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9</xdr:col>
      <xdr:colOff>38539</xdr:colOff>
      <xdr:row>67</xdr:row>
      <xdr:rowOff>32396</xdr:rowOff>
    </xdr:from>
    <xdr:ext cx="2000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10</xdr:col>
      <xdr:colOff>38539</xdr:colOff>
      <xdr:row>67</xdr:row>
      <xdr:rowOff>32396</xdr:rowOff>
    </xdr:from>
    <xdr:ext cx="2000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11</xdr:col>
      <xdr:colOff>38539</xdr:colOff>
      <xdr:row>67</xdr:row>
      <xdr:rowOff>32396</xdr:rowOff>
    </xdr:from>
    <xdr:ext cx="2000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12</xdr:col>
      <xdr:colOff>38539</xdr:colOff>
      <xdr:row>67</xdr:row>
      <xdr:rowOff>32396</xdr:rowOff>
    </xdr:from>
    <xdr:ext cx="2000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13</xdr:col>
      <xdr:colOff>38539</xdr:colOff>
      <xdr:row>67</xdr:row>
      <xdr:rowOff>32396</xdr:rowOff>
    </xdr:from>
    <xdr:ext cx="2000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14</xdr:col>
      <xdr:colOff>38539</xdr:colOff>
      <xdr:row>67</xdr:row>
      <xdr:rowOff>32396</xdr:rowOff>
    </xdr:from>
    <xdr:ext cx="2000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15</xdr:col>
      <xdr:colOff>38539</xdr:colOff>
      <xdr:row>67</xdr:row>
      <xdr:rowOff>32396</xdr:rowOff>
    </xdr:from>
    <xdr:ext cx="2000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16</xdr:col>
      <xdr:colOff>38539</xdr:colOff>
      <xdr:row>67</xdr:row>
      <xdr:rowOff>32396</xdr:rowOff>
    </xdr:from>
    <xdr:ext cx="2000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38539</xdr:colOff>
      <xdr:row>67</xdr:row>
      <xdr:rowOff>32396</xdr:rowOff>
    </xdr:from>
    <xdr:ext cx="2000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38539</xdr:colOff>
      <xdr:row>67</xdr:row>
      <xdr:rowOff>32396</xdr:rowOff>
    </xdr:from>
    <xdr:ext cx="2000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19</xdr:col>
      <xdr:colOff>38539</xdr:colOff>
      <xdr:row>67</xdr:row>
      <xdr:rowOff>32396</xdr:rowOff>
    </xdr:from>
    <xdr:ext cx="20002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20</xdr:col>
      <xdr:colOff>38539</xdr:colOff>
      <xdr:row>67</xdr:row>
      <xdr:rowOff>32396</xdr:rowOff>
    </xdr:from>
    <xdr:ext cx="2000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21</xdr:col>
      <xdr:colOff>38539</xdr:colOff>
      <xdr:row>67</xdr:row>
      <xdr:rowOff>32396</xdr:rowOff>
    </xdr:from>
    <xdr:ext cx="2000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22</xdr:col>
      <xdr:colOff>38539</xdr:colOff>
      <xdr:row>67</xdr:row>
      <xdr:rowOff>32396</xdr:rowOff>
    </xdr:from>
    <xdr:ext cx="2000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23</xdr:col>
      <xdr:colOff>38539</xdr:colOff>
      <xdr:row>67</xdr:row>
      <xdr:rowOff>32396</xdr:rowOff>
    </xdr:from>
    <xdr:ext cx="2000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24</xdr:col>
      <xdr:colOff>38539</xdr:colOff>
      <xdr:row>67</xdr:row>
      <xdr:rowOff>32396</xdr:rowOff>
    </xdr:from>
    <xdr:ext cx="2000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25</xdr:col>
      <xdr:colOff>38539</xdr:colOff>
      <xdr:row>67</xdr:row>
      <xdr:rowOff>32396</xdr:rowOff>
    </xdr:from>
    <xdr:ext cx="2000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26</xdr:col>
      <xdr:colOff>38539</xdr:colOff>
      <xdr:row>67</xdr:row>
      <xdr:rowOff>32396</xdr:rowOff>
    </xdr:from>
    <xdr:ext cx="2000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41</xdr:col>
      <xdr:colOff>39575</xdr:colOff>
      <xdr:row>67</xdr:row>
      <xdr:rowOff>32396</xdr:rowOff>
    </xdr:from>
    <xdr:ext cx="590550"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5</xdr:col>
      <xdr:colOff>51703</xdr:colOff>
      <xdr:row>12</xdr:row>
      <xdr:rowOff>24845</xdr:rowOff>
    </xdr:from>
    <xdr:ext cx="23812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5</xdr:col>
      <xdr:colOff>51703</xdr:colOff>
      <xdr:row>13</xdr:row>
      <xdr:rowOff>24845</xdr:rowOff>
    </xdr:from>
    <xdr:ext cx="23812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5</xdr:col>
      <xdr:colOff>51703</xdr:colOff>
      <xdr:row>14</xdr:row>
      <xdr:rowOff>24845</xdr:rowOff>
    </xdr:from>
    <xdr:ext cx="23812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5</xdr:col>
      <xdr:colOff>48386</xdr:colOff>
      <xdr:row>63</xdr:row>
      <xdr:rowOff>32396</xdr:rowOff>
    </xdr:from>
    <xdr:ext cx="2000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5</xdr:col>
      <xdr:colOff>48386</xdr:colOff>
      <xdr:row>64</xdr:row>
      <xdr:rowOff>32396</xdr:rowOff>
    </xdr:from>
    <xdr:ext cx="2000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5</xdr:col>
      <xdr:colOff>48386</xdr:colOff>
      <xdr:row>65</xdr:row>
      <xdr:rowOff>32396</xdr:rowOff>
    </xdr:from>
    <xdr:ext cx="2000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5</xdr:col>
      <xdr:colOff>48386</xdr:colOff>
      <xdr:row>66</xdr:row>
      <xdr:rowOff>32396</xdr:rowOff>
    </xdr:from>
    <xdr:ext cx="2000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5</xdr:col>
      <xdr:colOff>48386</xdr:colOff>
      <xdr:row>67</xdr:row>
      <xdr:rowOff>32396</xdr:rowOff>
    </xdr:from>
    <xdr:ext cx="2000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41181</xdr:colOff>
      <xdr:row>12</xdr:row>
      <xdr:rowOff>24845</xdr:rowOff>
    </xdr:from>
    <xdr:ext cx="23812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41181</xdr:colOff>
      <xdr:row>13</xdr:row>
      <xdr:rowOff>24845</xdr:rowOff>
    </xdr:from>
    <xdr:ext cx="23812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41181</xdr:colOff>
      <xdr:row>14</xdr:row>
      <xdr:rowOff>24845</xdr:rowOff>
    </xdr:from>
    <xdr:ext cx="23812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38539</xdr:colOff>
      <xdr:row>63</xdr:row>
      <xdr:rowOff>32396</xdr:rowOff>
    </xdr:from>
    <xdr:ext cx="2000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38539</xdr:colOff>
      <xdr:row>64</xdr:row>
      <xdr:rowOff>32396</xdr:rowOff>
    </xdr:from>
    <xdr:ext cx="2000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38539</xdr:colOff>
      <xdr:row>65</xdr:row>
      <xdr:rowOff>32396</xdr:rowOff>
    </xdr:from>
    <xdr:ext cx="2000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38539</xdr:colOff>
      <xdr:row>66</xdr:row>
      <xdr:rowOff>32396</xdr:rowOff>
    </xdr:from>
    <xdr:ext cx="2000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38539</xdr:colOff>
      <xdr:row>67</xdr:row>
      <xdr:rowOff>32396</xdr:rowOff>
    </xdr:from>
    <xdr:ext cx="2000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41181</xdr:colOff>
      <xdr:row>12</xdr:row>
      <xdr:rowOff>24845</xdr:rowOff>
    </xdr:from>
    <xdr:ext cx="23812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41181</xdr:colOff>
      <xdr:row>13</xdr:row>
      <xdr:rowOff>24845</xdr:rowOff>
    </xdr:from>
    <xdr:ext cx="23812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41181</xdr:colOff>
      <xdr:row>14</xdr:row>
      <xdr:rowOff>24845</xdr:rowOff>
    </xdr:from>
    <xdr:ext cx="23812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38539</xdr:colOff>
      <xdr:row>63</xdr:row>
      <xdr:rowOff>32396</xdr:rowOff>
    </xdr:from>
    <xdr:ext cx="2000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38539</xdr:colOff>
      <xdr:row>64</xdr:row>
      <xdr:rowOff>32396</xdr:rowOff>
    </xdr:from>
    <xdr:ext cx="2000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38539</xdr:colOff>
      <xdr:row>65</xdr:row>
      <xdr:rowOff>32396</xdr:rowOff>
    </xdr:from>
    <xdr:ext cx="2000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38539</xdr:colOff>
      <xdr:row>66</xdr:row>
      <xdr:rowOff>32396</xdr:rowOff>
    </xdr:from>
    <xdr:ext cx="2000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38539</xdr:colOff>
      <xdr:row>67</xdr:row>
      <xdr:rowOff>32396</xdr:rowOff>
    </xdr:from>
    <xdr:ext cx="2000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41181</xdr:colOff>
      <xdr:row>12</xdr:row>
      <xdr:rowOff>24845</xdr:rowOff>
    </xdr:from>
    <xdr:ext cx="23812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41181</xdr:colOff>
      <xdr:row>13</xdr:row>
      <xdr:rowOff>24845</xdr:rowOff>
    </xdr:from>
    <xdr:ext cx="23812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41181</xdr:colOff>
      <xdr:row>14</xdr:row>
      <xdr:rowOff>24845</xdr:rowOff>
    </xdr:from>
    <xdr:ext cx="23812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38539</xdr:colOff>
      <xdr:row>63</xdr:row>
      <xdr:rowOff>32396</xdr:rowOff>
    </xdr:from>
    <xdr:ext cx="2000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38539</xdr:colOff>
      <xdr:row>64</xdr:row>
      <xdr:rowOff>32396</xdr:rowOff>
    </xdr:from>
    <xdr:ext cx="2000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38539</xdr:colOff>
      <xdr:row>65</xdr:row>
      <xdr:rowOff>32396</xdr:rowOff>
    </xdr:from>
    <xdr:ext cx="2000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38539</xdr:colOff>
      <xdr:row>66</xdr:row>
      <xdr:rowOff>32396</xdr:rowOff>
    </xdr:from>
    <xdr:ext cx="2000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38539</xdr:colOff>
      <xdr:row>67</xdr:row>
      <xdr:rowOff>32396</xdr:rowOff>
    </xdr:from>
    <xdr:ext cx="2000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41181</xdr:colOff>
      <xdr:row>12</xdr:row>
      <xdr:rowOff>24845</xdr:rowOff>
    </xdr:from>
    <xdr:ext cx="23812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41181</xdr:colOff>
      <xdr:row>13</xdr:row>
      <xdr:rowOff>24845</xdr:rowOff>
    </xdr:from>
    <xdr:ext cx="23812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41181</xdr:colOff>
      <xdr:row>14</xdr:row>
      <xdr:rowOff>24845</xdr:rowOff>
    </xdr:from>
    <xdr:ext cx="23812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38539</xdr:colOff>
      <xdr:row>63</xdr:row>
      <xdr:rowOff>32396</xdr:rowOff>
    </xdr:from>
    <xdr:ext cx="2000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38539</xdr:colOff>
      <xdr:row>64</xdr:row>
      <xdr:rowOff>32396</xdr:rowOff>
    </xdr:from>
    <xdr:ext cx="2000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38539</xdr:colOff>
      <xdr:row>65</xdr:row>
      <xdr:rowOff>32396</xdr:rowOff>
    </xdr:from>
    <xdr:ext cx="2000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38539</xdr:colOff>
      <xdr:row>66</xdr:row>
      <xdr:rowOff>32396</xdr:rowOff>
    </xdr:from>
    <xdr:ext cx="2000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38539</xdr:colOff>
      <xdr:row>67</xdr:row>
      <xdr:rowOff>32396</xdr:rowOff>
    </xdr:from>
    <xdr:ext cx="2000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41181</xdr:colOff>
      <xdr:row>12</xdr:row>
      <xdr:rowOff>24845</xdr:rowOff>
    </xdr:from>
    <xdr:ext cx="23812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41181</xdr:colOff>
      <xdr:row>13</xdr:row>
      <xdr:rowOff>24845</xdr:rowOff>
    </xdr:from>
    <xdr:ext cx="23812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41181</xdr:colOff>
      <xdr:row>14</xdr:row>
      <xdr:rowOff>24845</xdr:rowOff>
    </xdr:from>
    <xdr:ext cx="23812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38539</xdr:colOff>
      <xdr:row>63</xdr:row>
      <xdr:rowOff>32396</xdr:rowOff>
    </xdr:from>
    <xdr:ext cx="2000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38539</xdr:colOff>
      <xdr:row>64</xdr:row>
      <xdr:rowOff>32396</xdr:rowOff>
    </xdr:from>
    <xdr:ext cx="2000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38539</xdr:colOff>
      <xdr:row>65</xdr:row>
      <xdr:rowOff>32396</xdr:rowOff>
    </xdr:from>
    <xdr:ext cx="2000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38539</xdr:colOff>
      <xdr:row>66</xdr:row>
      <xdr:rowOff>32396</xdr:rowOff>
    </xdr:from>
    <xdr:ext cx="2000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38539</xdr:colOff>
      <xdr:row>67</xdr:row>
      <xdr:rowOff>32396</xdr:rowOff>
    </xdr:from>
    <xdr:ext cx="2000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41181</xdr:colOff>
      <xdr:row>12</xdr:row>
      <xdr:rowOff>24845</xdr:rowOff>
    </xdr:from>
    <xdr:ext cx="23812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41181</xdr:colOff>
      <xdr:row>13</xdr:row>
      <xdr:rowOff>24845</xdr:rowOff>
    </xdr:from>
    <xdr:ext cx="23812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41181</xdr:colOff>
      <xdr:row>14</xdr:row>
      <xdr:rowOff>24845</xdr:rowOff>
    </xdr:from>
    <xdr:ext cx="23812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38539</xdr:colOff>
      <xdr:row>63</xdr:row>
      <xdr:rowOff>32396</xdr:rowOff>
    </xdr:from>
    <xdr:ext cx="2000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38539</xdr:colOff>
      <xdr:row>64</xdr:row>
      <xdr:rowOff>32396</xdr:rowOff>
    </xdr:from>
    <xdr:ext cx="2000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38539</xdr:colOff>
      <xdr:row>65</xdr:row>
      <xdr:rowOff>32396</xdr:rowOff>
    </xdr:from>
    <xdr:ext cx="2000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38539</xdr:colOff>
      <xdr:row>66</xdr:row>
      <xdr:rowOff>32396</xdr:rowOff>
    </xdr:from>
    <xdr:ext cx="2000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38539</xdr:colOff>
      <xdr:row>67</xdr:row>
      <xdr:rowOff>32396</xdr:rowOff>
    </xdr:from>
    <xdr:ext cx="2000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41181</xdr:colOff>
      <xdr:row>12</xdr:row>
      <xdr:rowOff>24845</xdr:rowOff>
    </xdr:from>
    <xdr:ext cx="23812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41181</xdr:colOff>
      <xdr:row>13</xdr:row>
      <xdr:rowOff>24845</xdr:rowOff>
    </xdr:from>
    <xdr:ext cx="23812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41181</xdr:colOff>
      <xdr:row>14</xdr:row>
      <xdr:rowOff>24845</xdr:rowOff>
    </xdr:from>
    <xdr:ext cx="23812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38539</xdr:colOff>
      <xdr:row>63</xdr:row>
      <xdr:rowOff>32396</xdr:rowOff>
    </xdr:from>
    <xdr:ext cx="2000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38539</xdr:colOff>
      <xdr:row>64</xdr:row>
      <xdr:rowOff>32396</xdr:rowOff>
    </xdr:from>
    <xdr:ext cx="2000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38539</xdr:colOff>
      <xdr:row>65</xdr:row>
      <xdr:rowOff>32396</xdr:rowOff>
    </xdr:from>
    <xdr:ext cx="2000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38539</xdr:colOff>
      <xdr:row>66</xdr:row>
      <xdr:rowOff>32396</xdr:rowOff>
    </xdr:from>
    <xdr:ext cx="2000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38539</xdr:colOff>
      <xdr:row>67</xdr:row>
      <xdr:rowOff>32396</xdr:rowOff>
    </xdr:from>
    <xdr:ext cx="2000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41181</xdr:colOff>
      <xdr:row>12</xdr:row>
      <xdr:rowOff>24845</xdr:rowOff>
    </xdr:from>
    <xdr:ext cx="23812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41181</xdr:colOff>
      <xdr:row>13</xdr:row>
      <xdr:rowOff>24845</xdr:rowOff>
    </xdr:from>
    <xdr:ext cx="23812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41181</xdr:colOff>
      <xdr:row>14</xdr:row>
      <xdr:rowOff>24845</xdr:rowOff>
    </xdr:from>
    <xdr:ext cx="23812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38539</xdr:colOff>
      <xdr:row>63</xdr:row>
      <xdr:rowOff>32396</xdr:rowOff>
    </xdr:from>
    <xdr:ext cx="2000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38539</xdr:colOff>
      <xdr:row>64</xdr:row>
      <xdr:rowOff>32396</xdr:rowOff>
    </xdr:from>
    <xdr:ext cx="2000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38539</xdr:colOff>
      <xdr:row>65</xdr:row>
      <xdr:rowOff>32396</xdr:rowOff>
    </xdr:from>
    <xdr:ext cx="2000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38539</xdr:colOff>
      <xdr:row>66</xdr:row>
      <xdr:rowOff>32396</xdr:rowOff>
    </xdr:from>
    <xdr:ext cx="2000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38539</xdr:colOff>
      <xdr:row>67</xdr:row>
      <xdr:rowOff>32396</xdr:rowOff>
    </xdr:from>
    <xdr:ext cx="2000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41181</xdr:colOff>
      <xdr:row>12</xdr:row>
      <xdr:rowOff>24845</xdr:rowOff>
    </xdr:from>
    <xdr:ext cx="23812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41181</xdr:colOff>
      <xdr:row>13</xdr:row>
      <xdr:rowOff>24845</xdr:rowOff>
    </xdr:from>
    <xdr:ext cx="23812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41181</xdr:colOff>
      <xdr:row>14</xdr:row>
      <xdr:rowOff>24845</xdr:rowOff>
    </xdr:from>
    <xdr:ext cx="23812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38539</xdr:colOff>
      <xdr:row>63</xdr:row>
      <xdr:rowOff>32396</xdr:rowOff>
    </xdr:from>
    <xdr:ext cx="2000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38539</xdr:colOff>
      <xdr:row>64</xdr:row>
      <xdr:rowOff>32396</xdr:rowOff>
    </xdr:from>
    <xdr:ext cx="2000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38539</xdr:colOff>
      <xdr:row>65</xdr:row>
      <xdr:rowOff>32396</xdr:rowOff>
    </xdr:from>
    <xdr:ext cx="2000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38539</xdr:colOff>
      <xdr:row>66</xdr:row>
      <xdr:rowOff>32396</xdr:rowOff>
    </xdr:from>
    <xdr:ext cx="2000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38539</xdr:colOff>
      <xdr:row>67</xdr:row>
      <xdr:rowOff>32396</xdr:rowOff>
    </xdr:from>
    <xdr:ext cx="2000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41181</xdr:colOff>
      <xdr:row>12</xdr:row>
      <xdr:rowOff>24845</xdr:rowOff>
    </xdr:from>
    <xdr:ext cx="23812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41181</xdr:colOff>
      <xdr:row>13</xdr:row>
      <xdr:rowOff>24845</xdr:rowOff>
    </xdr:from>
    <xdr:ext cx="23812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41181</xdr:colOff>
      <xdr:row>14</xdr:row>
      <xdr:rowOff>24845</xdr:rowOff>
    </xdr:from>
    <xdr:ext cx="23812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38539</xdr:colOff>
      <xdr:row>63</xdr:row>
      <xdr:rowOff>32396</xdr:rowOff>
    </xdr:from>
    <xdr:ext cx="2000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38539</xdr:colOff>
      <xdr:row>64</xdr:row>
      <xdr:rowOff>32396</xdr:rowOff>
    </xdr:from>
    <xdr:ext cx="2000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38539</xdr:colOff>
      <xdr:row>65</xdr:row>
      <xdr:rowOff>32396</xdr:rowOff>
    </xdr:from>
    <xdr:ext cx="2000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38539</xdr:colOff>
      <xdr:row>66</xdr:row>
      <xdr:rowOff>32396</xdr:rowOff>
    </xdr:from>
    <xdr:ext cx="2000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38539</xdr:colOff>
      <xdr:row>67</xdr:row>
      <xdr:rowOff>32396</xdr:rowOff>
    </xdr:from>
    <xdr:ext cx="2000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41181</xdr:colOff>
      <xdr:row>12</xdr:row>
      <xdr:rowOff>24845</xdr:rowOff>
    </xdr:from>
    <xdr:ext cx="23812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41181</xdr:colOff>
      <xdr:row>13</xdr:row>
      <xdr:rowOff>24845</xdr:rowOff>
    </xdr:from>
    <xdr:ext cx="23812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41181</xdr:colOff>
      <xdr:row>14</xdr:row>
      <xdr:rowOff>24845</xdr:rowOff>
    </xdr:from>
    <xdr:ext cx="23812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38539</xdr:colOff>
      <xdr:row>63</xdr:row>
      <xdr:rowOff>32396</xdr:rowOff>
    </xdr:from>
    <xdr:ext cx="2000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38539</xdr:colOff>
      <xdr:row>64</xdr:row>
      <xdr:rowOff>32396</xdr:rowOff>
    </xdr:from>
    <xdr:ext cx="2000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38539</xdr:colOff>
      <xdr:row>65</xdr:row>
      <xdr:rowOff>32396</xdr:rowOff>
    </xdr:from>
    <xdr:ext cx="2000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38539</xdr:colOff>
      <xdr:row>66</xdr:row>
      <xdr:rowOff>32396</xdr:rowOff>
    </xdr:from>
    <xdr:ext cx="2000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38539</xdr:colOff>
      <xdr:row>67</xdr:row>
      <xdr:rowOff>32396</xdr:rowOff>
    </xdr:from>
    <xdr:ext cx="2000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41181</xdr:colOff>
      <xdr:row>12</xdr:row>
      <xdr:rowOff>24845</xdr:rowOff>
    </xdr:from>
    <xdr:ext cx="23812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41181</xdr:colOff>
      <xdr:row>13</xdr:row>
      <xdr:rowOff>24845</xdr:rowOff>
    </xdr:from>
    <xdr:ext cx="23812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41181</xdr:colOff>
      <xdr:row>14</xdr:row>
      <xdr:rowOff>24845</xdr:rowOff>
    </xdr:from>
    <xdr:ext cx="23812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38539</xdr:colOff>
      <xdr:row>63</xdr:row>
      <xdr:rowOff>32396</xdr:rowOff>
    </xdr:from>
    <xdr:ext cx="2000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38539</xdr:colOff>
      <xdr:row>64</xdr:row>
      <xdr:rowOff>32396</xdr:rowOff>
    </xdr:from>
    <xdr:ext cx="2000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38539</xdr:colOff>
      <xdr:row>65</xdr:row>
      <xdr:rowOff>32396</xdr:rowOff>
    </xdr:from>
    <xdr:ext cx="2000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38539</xdr:colOff>
      <xdr:row>66</xdr:row>
      <xdr:rowOff>32396</xdr:rowOff>
    </xdr:from>
    <xdr:ext cx="2000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38539</xdr:colOff>
      <xdr:row>67</xdr:row>
      <xdr:rowOff>32396</xdr:rowOff>
    </xdr:from>
    <xdr:ext cx="2000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41181</xdr:colOff>
      <xdr:row>12</xdr:row>
      <xdr:rowOff>24845</xdr:rowOff>
    </xdr:from>
    <xdr:ext cx="23812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41181</xdr:colOff>
      <xdr:row>13</xdr:row>
      <xdr:rowOff>24845</xdr:rowOff>
    </xdr:from>
    <xdr:ext cx="23812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41181</xdr:colOff>
      <xdr:row>14</xdr:row>
      <xdr:rowOff>24845</xdr:rowOff>
    </xdr:from>
    <xdr:ext cx="23812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38539</xdr:colOff>
      <xdr:row>63</xdr:row>
      <xdr:rowOff>32396</xdr:rowOff>
    </xdr:from>
    <xdr:ext cx="2000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38539</xdr:colOff>
      <xdr:row>64</xdr:row>
      <xdr:rowOff>32396</xdr:rowOff>
    </xdr:from>
    <xdr:ext cx="2000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38539</xdr:colOff>
      <xdr:row>65</xdr:row>
      <xdr:rowOff>32396</xdr:rowOff>
    </xdr:from>
    <xdr:ext cx="2000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38539</xdr:colOff>
      <xdr:row>66</xdr:row>
      <xdr:rowOff>32396</xdr:rowOff>
    </xdr:from>
    <xdr:ext cx="2000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38539</xdr:colOff>
      <xdr:row>67</xdr:row>
      <xdr:rowOff>32396</xdr:rowOff>
    </xdr:from>
    <xdr:ext cx="2000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41181</xdr:colOff>
      <xdr:row>12</xdr:row>
      <xdr:rowOff>24845</xdr:rowOff>
    </xdr:from>
    <xdr:ext cx="23812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41181</xdr:colOff>
      <xdr:row>13</xdr:row>
      <xdr:rowOff>24845</xdr:rowOff>
    </xdr:from>
    <xdr:ext cx="23812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41181</xdr:colOff>
      <xdr:row>14</xdr:row>
      <xdr:rowOff>24845</xdr:rowOff>
    </xdr:from>
    <xdr:ext cx="23812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38539</xdr:colOff>
      <xdr:row>63</xdr:row>
      <xdr:rowOff>32396</xdr:rowOff>
    </xdr:from>
    <xdr:ext cx="2000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38539</xdr:colOff>
      <xdr:row>64</xdr:row>
      <xdr:rowOff>32396</xdr:rowOff>
    </xdr:from>
    <xdr:ext cx="2000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38539</xdr:colOff>
      <xdr:row>65</xdr:row>
      <xdr:rowOff>32396</xdr:rowOff>
    </xdr:from>
    <xdr:ext cx="2000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38539</xdr:colOff>
      <xdr:row>66</xdr:row>
      <xdr:rowOff>32396</xdr:rowOff>
    </xdr:from>
    <xdr:ext cx="2000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38539</xdr:colOff>
      <xdr:row>67</xdr:row>
      <xdr:rowOff>32396</xdr:rowOff>
    </xdr:from>
    <xdr:ext cx="2000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41181</xdr:colOff>
      <xdr:row>12</xdr:row>
      <xdr:rowOff>24845</xdr:rowOff>
    </xdr:from>
    <xdr:ext cx="23812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41181</xdr:colOff>
      <xdr:row>13</xdr:row>
      <xdr:rowOff>24845</xdr:rowOff>
    </xdr:from>
    <xdr:ext cx="23812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41181</xdr:colOff>
      <xdr:row>14</xdr:row>
      <xdr:rowOff>24845</xdr:rowOff>
    </xdr:from>
    <xdr:ext cx="23812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38539</xdr:colOff>
      <xdr:row>63</xdr:row>
      <xdr:rowOff>32396</xdr:rowOff>
    </xdr:from>
    <xdr:ext cx="2000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38539</xdr:colOff>
      <xdr:row>64</xdr:row>
      <xdr:rowOff>32396</xdr:rowOff>
    </xdr:from>
    <xdr:ext cx="2000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38539</xdr:colOff>
      <xdr:row>65</xdr:row>
      <xdr:rowOff>32396</xdr:rowOff>
    </xdr:from>
    <xdr:ext cx="2000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38539</xdr:colOff>
      <xdr:row>66</xdr:row>
      <xdr:rowOff>32396</xdr:rowOff>
    </xdr:from>
    <xdr:ext cx="2000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38539</xdr:colOff>
      <xdr:row>67</xdr:row>
      <xdr:rowOff>32396</xdr:rowOff>
    </xdr:from>
    <xdr:ext cx="2000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41181</xdr:colOff>
      <xdr:row>12</xdr:row>
      <xdr:rowOff>24845</xdr:rowOff>
    </xdr:from>
    <xdr:ext cx="23812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41181</xdr:colOff>
      <xdr:row>13</xdr:row>
      <xdr:rowOff>24845</xdr:rowOff>
    </xdr:from>
    <xdr:ext cx="23812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41181</xdr:colOff>
      <xdr:row>14</xdr:row>
      <xdr:rowOff>24845</xdr:rowOff>
    </xdr:from>
    <xdr:ext cx="23812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38539</xdr:colOff>
      <xdr:row>63</xdr:row>
      <xdr:rowOff>32396</xdr:rowOff>
    </xdr:from>
    <xdr:ext cx="2000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38539</xdr:colOff>
      <xdr:row>64</xdr:row>
      <xdr:rowOff>32396</xdr:rowOff>
    </xdr:from>
    <xdr:ext cx="2000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38539</xdr:colOff>
      <xdr:row>65</xdr:row>
      <xdr:rowOff>32396</xdr:rowOff>
    </xdr:from>
    <xdr:ext cx="2000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38539</xdr:colOff>
      <xdr:row>66</xdr:row>
      <xdr:rowOff>32396</xdr:rowOff>
    </xdr:from>
    <xdr:ext cx="2000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38539</xdr:colOff>
      <xdr:row>67</xdr:row>
      <xdr:rowOff>32396</xdr:rowOff>
    </xdr:from>
    <xdr:ext cx="2000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41181</xdr:colOff>
      <xdr:row>12</xdr:row>
      <xdr:rowOff>24845</xdr:rowOff>
    </xdr:from>
    <xdr:ext cx="23812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41181</xdr:colOff>
      <xdr:row>13</xdr:row>
      <xdr:rowOff>24845</xdr:rowOff>
    </xdr:from>
    <xdr:ext cx="23812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41181</xdr:colOff>
      <xdr:row>14</xdr:row>
      <xdr:rowOff>24845</xdr:rowOff>
    </xdr:from>
    <xdr:ext cx="23812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38539</xdr:colOff>
      <xdr:row>63</xdr:row>
      <xdr:rowOff>32396</xdr:rowOff>
    </xdr:from>
    <xdr:ext cx="2000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38539</xdr:colOff>
      <xdr:row>64</xdr:row>
      <xdr:rowOff>32396</xdr:rowOff>
    </xdr:from>
    <xdr:ext cx="2000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38539</xdr:colOff>
      <xdr:row>65</xdr:row>
      <xdr:rowOff>32396</xdr:rowOff>
    </xdr:from>
    <xdr:ext cx="2000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38539</xdr:colOff>
      <xdr:row>66</xdr:row>
      <xdr:rowOff>32396</xdr:rowOff>
    </xdr:from>
    <xdr:ext cx="2000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38539</xdr:colOff>
      <xdr:row>67</xdr:row>
      <xdr:rowOff>32396</xdr:rowOff>
    </xdr:from>
    <xdr:ext cx="2000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41181</xdr:colOff>
      <xdr:row>12</xdr:row>
      <xdr:rowOff>24845</xdr:rowOff>
    </xdr:from>
    <xdr:ext cx="23812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41181</xdr:colOff>
      <xdr:row>13</xdr:row>
      <xdr:rowOff>24845</xdr:rowOff>
    </xdr:from>
    <xdr:ext cx="23812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41181</xdr:colOff>
      <xdr:row>14</xdr:row>
      <xdr:rowOff>24845</xdr:rowOff>
    </xdr:from>
    <xdr:ext cx="23812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38539</xdr:colOff>
      <xdr:row>63</xdr:row>
      <xdr:rowOff>32396</xdr:rowOff>
    </xdr:from>
    <xdr:ext cx="2000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38539</xdr:colOff>
      <xdr:row>64</xdr:row>
      <xdr:rowOff>32396</xdr:rowOff>
    </xdr:from>
    <xdr:ext cx="2000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38539</xdr:colOff>
      <xdr:row>65</xdr:row>
      <xdr:rowOff>32396</xdr:rowOff>
    </xdr:from>
    <xdr:ext cx="2000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38539</xdr:colOff>
      <xdr:row>66</xdr:row>
      <xdr:rowOff>32396</xdr:rowOff>
    </xdr:from>
    <xdr:ext cx="2000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38539</xdr:colOff>
      <xdr:row>67</xdr:row>
      <xdr:rowOff>32396</xdr:rowOff>
    </xdr:from>
    <xdr:ext cx="2000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41181</xdr:colOff>
      <xdr:row>12</xdr:row>
      <xdr:rowOff>24845</xdr:rowOff>
    </xdr:from>
    <xdr:ext cx="23812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41181</xdr:colOff>
      <xdr:row>13</xdr:row>
      <xdr:rowOff>24845</xdr:rowOff>
    </xdr:from>
    <xdr:ext cx="23812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41181</xdr:colOff>
      <xdr:row>14</xdr:row>
      <xdr:rowOff>24845</xdr:rowOff>
    </xdr:from>
    <xdr:ext cx="23812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38539</xdr:colOff>
      <xdr:row>63</xdr:row>
      <xdr:rowOff>32396</xdr:rowOff>
    </xdr:from>
    <xdr:ext cx="2000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38539</xdr:colOff>
      <xdr:row>64</xdr:row>
      <xdr:rowOff>32396</xdr:rowOff>
    </xdr:from>
    <xdr:ext cx="2000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38539</xdr:colOff>
      <xdr:row>65</xdr:row>
      <xdr:rowOff>32396</xdr:rowOff>
    </xdr:from>
    <xdr:ext cx="2000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38539</xdr:colOff>
      <xdr:row>66</xdr:row>
      <xdr:rowOff>32396</xdr:rowOff>
    </xdr:from>
    <xdr:ext cx="2000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38539</xdr:colOff>
      <xdr:row>67</xdr:row>
      <xdr:rowOff>32396</xdr:rowOff>
    </xdr:from>
    <xdr:ext cx="2000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41181</xdr:colOff>
      <xdr:row>12</xdr:row>
      <xdr:rowOff>24845</xdr:rowOff>
    </xdr:from>
    <xdr:ext cx="23812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41181</xdr:colOff>
      <xdr:row>13</xdr:row>
      <xdr:rowOff>24845</xdr:rowOff>
    </xdr:from>
    <xdr:ext cx="23812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41181</xdr:colOff>
      <xdr:row>14</xdr:row>
      <xdr:rowOff>24845</xdr:rowOff>
    </xdr:from>
    <xdr:ext cx="23812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38539</xdr:colOff>
      <xdr:row>63</xdr:row>
      <xdr:rowOff>32396</xdr:rowOff>
    </xdr:from>
    <xdr:ext cx="20002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38539</xdr:colOff>
      <xdr:row>64</xdr:row>
      <xdr:rowOff>32396</xdr:rowOff>
    </xdr:from>
    <xdr:ext cx="20002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38539</xdr:colOff>
      <xdr:row>65</xdr:row>
      <xdr:rowOff>32396</xdr:rowOff>
    </xdr:from>
    <xdr:ext cx="20002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38539</xdr:colOff>
      <xdr:row>66</xdr:row>
      <xdr:rowOff>32396</xdr:rowOff>
    </xdr:from>
    <xdr:ext cx="20002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38539</xdr:colOff>
      <xdr:row>67</xdr:row>
      <xdr:rowOff>32396</xdr:rowOff>
    </xdr:from>
    <xdr:ext cx="20002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41181</xdr:colOff>
      <xdr:row>12</xdr:row>
      <xdr:rowOff>24845</xdr:rowOff>
    </xdr:from>
    <xdr:ext cx="23812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41181</xdr:colOff>
      <xdr:row>13</xdr:row>
      <xdr:rowOff>24845</xdr:rowOff>
    </xdr:from>
    <xdr:ext cx="23812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41181</xdr:colOff>
      <xdr:row>14</xdr:row>
      <xdr:rowOff>24845</xdr:rowOff>
    </xdr:from>
    <xdr:ext cx="23812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38539</xdr:colOff>
      <xdr:row>63</xdr:row>
      <xdr:rowOff>32396</xdr:rowOff>
    </xdr:from>
    <xdr:ext cx="20002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38539</xdr:colOff>
      <xdr:row>64</xdr:row>
      <xdr:rowOff>32396</xdr:rowOff>
    </xdr:from>
    <xdr:ext cx="20002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38539</xdr:colOff>
      <xdr:row>65</xdr:row>
      <xdr:rowOff>32396</xdr:rowOff>
    </xdr:from>
    <xdr:ext cx="20002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38539</xdr:colOff>
      <xdr:row>66</xdr:row>
      <xdr:rowOff>32396</xdr:rowOff>
    </xdr:from>
    <xdr:ext cx="20002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38539</xdr:colOff>
      <xdr:row>67</xdr:row>
      <xdr:rowOff>32396</xdr:rowOff>
    </xdr:from>
    <xdr:ext cx="20002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41</xdr:col>
      <xdr:colOff>41482</xdr:colOff>
      <xdr:row>12</xdr:row>
      <xdr:rowOff>24845</xdr:rowOff>
    </xdr:from>
    <xdr:ext cx="62865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41</xdr:col>
      <xdr:colOff>41482</xdr:colOff>
      <xdr:row>13</xdr:row>
      <xdr:rowOff>24845</xdr:rowOff>
    </xdr:from>
    <xdr:ext cx="62865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41</xdr:col>
      <xdr:colOff>41482</xdr:colOff>
      <xdr:row>14</xdr:row>
      <xdr:rowOff>24845</xdr:rowOff>
    </xdr:from>
    <xdr:ext cx="62865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39575</xdr:colOff>
      <xdr:row>63</xdr:row>
      <xdr:rowOff>32396</xdr:rowOff>
    </xdr:from>
    <xdr:ext cx="590550"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39575</xdr:colOff>
      <xdr:row>64</xdr:row>
      <xdr:rowOff>32396</xdr:rowOff>
    </xdr:from>
    <xdr:ext cx="590550"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39575</xdr:colOff>
      <xdr:row>65</xdr:row>
      <xdr:rowOff>32396</xdr:rowOff>
    </xdr:from>
    <xdr:ext cx="590550"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39575</xdr:colOff>
      <xdr:row>66</xdr:row>
      <xdr:rowOff>32396</xdr:rowOff>
    </xdr:from>
    <xdr:ext cx="590550"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39575</xdr:colOff>
      <xdr:row>67</xdr:row>
      <xdr:rowOff>32396</xdr:rowOff>
    </xdr:from>
    <xdr:ext cx="590550"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2504</xdr:colOff>
      <xdr:row>12</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2504</xdr:colOff>
      <xdr:row>13</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2504</xdr:colOff>
      <xdr:row>14</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38539</xdr:colOff>
      <xdr:row>63</xdr:row>
      <xdr:rowOff>32396</xdr:rowOff>
    </xdr:from>
    <xdr:ext cx="2000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38539</xdr:colOff>
      <xdr:row>63</xdr:row>
      <xdr:rowOff>32396</xdr:rowOff>
    </xdr:from>
    <xdr:ext cx="2000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38539</xdr:colOff>
      <xdr:row>63</xdr:row>
      <xdr:rowOff>32396</xdr:rowOff>
    </xdr:from>
    <xdr:ext cx="2000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38539</xdr:colOff>
      <xdr:row>63</xdr:row>
      <xdr:rowOff>32396</xdr:rowOff>
    </xdr:from>
    <xdr:ext cx="2000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38539</xdr:colOff>
      <xdr:row>63</xdr:row>
      <xdr:rowOff>32396</xdr:rowOff>
    </xdr:from>
    <xdr:ext cx="2000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38539</xdr:colOff>
      <xdr:row>63</xdr:row>
      <xdr:rowOff>32396</xdr:rowOff>
    </xdr:from>
    <xdr:ext cx="2000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38539</xdr:colOff>
      <xdr:row>63</xdr:row>
      <xdr:rowOff>32396</xdr:rowOff>
    </xdr:from>
    <xdr:ext cx="2000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38539</xdr:colOff>
      <xdr:row>63</xdr:row>
      <xdr:rowOff>32396</xdr:rowOff>
    </xdr:from>
    <xdr:ext cx="2000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38539</xdr:colOff>
      <xdr:row>63</xdr:row>
      <xdr:rowOff>32396</xdr:rowOff>
    </xdr:from>
    <xdr:ext cx="2000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38539</xdr:colOff>
      <xdr:row>63</xdr:row>
      <xdr:rowOff>32396</xdr:rowOff>
    </xdr:from>
    <xdr:ext cx="2000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38539</xdr:colOff>
      <xdr:row>63</xdr:row>
      <xdr:rowOff>32396</xdr:rowOff>
    </xdr:from>
    <xdr:ext cx="2000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38539</xdr:colOff>
      <xdr:row>63</xdr:row>
      <xdr:rowOff>32396</xdr:rowOff>
    </xdr:from>
    <xdr:ext cx="2000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38539</xdr:colOff>
      <xdr:row>63</xdr:row>
      <xdr:rowOff>32396</xdr:rowOff>
    </xdr:from>
    <xdr:ext cx="2000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38539</xdr:colOff>
      <xdr:row>63</xdr:row>
      <xdr:rowOff>32396</xdr:rowOff>
    </xdr:from>
    <xdr:ext cx="2000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38539</xdr:colOff>
      <xdr:row>63</xdr:row>
      <xdr:rowOff>32396</xdr:rowOff>
    </xdr:from>
    <xdr:ext cx="20002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38539</xdr:colOff>
      <xdr:row>63</xdr:row>
      <xdr:rowOff>32396</xdr:rowOff>
    </xdr:from>
    <xdr:ext cx="2000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38539</xdr:colOff>
      <xdr:row>63</xdr:row>
      <xdr:rowOff>32396</xdr:rowOff>
    </xdr:from>
    <xdr:ext cx="2000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38539</xdr:colOff>
      <xdr:row>63</xdr:row>
      <xdr:rowOff>32396</xdr:rowOff>
    </xdr:from>
    <xdr:ext cx="2000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38539</xdr:colOff>
      <xdr:row>63</xdr:row>
      <xdr:rowOff>32396</xdr:rowOff>
    </xdr:from>
    <xdr:ext cx="2000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38539</xdr:colOff>
      <xdr:row>63</xdr:row>
      <xdr:rowOff>32396</xdr:rowOff>
    </xdr:from>
    <xdr:ext cx="2000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29</xdr:col>
      <xdr:colOff>38539</xdr:colOff>
      <xdr:row>63</xdr:row>
      <xdr:rowOff>32396</xdr:rowOff>
    </xdr:from>
    <xdr:ext cx="2000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41</xdr:col>
      <xdr:colOff>39575</xdr:colOff>
      <xdr:row>63</xdr:row>
      <xdr:rowOff>32396</xdr:rowOff>
    </xdr:from>
    <xdr:ext cx="590550"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38539</xdr:colOff>
      <xdr:row>64</xdr:row>
      <xdr:rowOff>32396</xdr:rowOff>
    </xdr:from>
    <xdr:ext cx="2000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38539</xdr:colOff>
      <xdr:row>64</xdr:row>
      <xdr:rowOff>32396</xdr:rowOff>
    </xdr:from>
    <xdr:ext cx="2000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38539</xdr:colOff>
      <xdr:row>64</xdr:row>
      <xdr:rowOff>32396</xdr:rowOff>
    </xdr:from>
    <xdr:ext cx="2000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38539</xdr:colOff>
      <xdr:row>64</xdr:row>
      <xdr:rowOff>32396</xdr:rowOff>
    </xdr:from>
    <xdr:ext cx="2000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38539</xdr:colOff>
      <xdr:row>64</xdr:row>
      <xdr:rowOff>32396</xdr:rowOff>
    </xdr:from>
    <xdr:ext cx="2000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38539</xdr:colOff>
      <xdr:row>64</xdr:row>
      <xdr:rowOff>32396</xdr:rowOff>
    </xdr:from>
    <xdr:ext cx="2000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38539</xdr:colOff>
      <xdr:row>64</xdr:row>
      <xdr:rowOff>32396</xdr:rowOff>
    </xdr:from>
    <xdr:ext cx="2000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38539</xdr:colOff>
      <xdr:row>64</xdr:row>
      <xdr:rowOff>32396</xdr:rowOff>
    </xdr:from>
    <xdr:ext cx="2000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38539</xdr:colOff>
      <xdr:row>64</xdr:row>
      <xdr:rowOff>32396</xdr:rowOff>
    </xdr:from>
    <xdr:ext cx="2000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38539</xdr:colOff>
      <xdr:row>64</xdr:row>
      <xdr:rowOff>32396</xdr:rowOff>
    </xdr:from>
    <xdr:ext cx="2000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38539</xdr:colOff>
      <xdr:row>64</xdr:row>
      <xdr:rowOff>32396</xdr:rowOff>
    </xdr:from>
    <xdr:ext cx="2000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38539</xdr:colOff>
      <xdr:row>64</xdr:row>
      <xdr:rowOff>32396</xdr:rowOff>
    </xdr:from>
    <xdr:ext cx="2000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38539</xdr:colOff>
      <xdr:row>64</xdr:row>
      <xdr:rowOff>32396</xdr:rowOff>
    </xdr:from>
    <xdr:ext cx="20002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38539</xdr:colOff>
      <xdr:row>64</xdr:row>
      <xdr:rowOff>32396</xdr:rowOff>
    </xdr:from>
    <xdr:ext cx="2000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38539</xdr:colOff>
      <xdr:row>64</xdr:row>
      <xdr:rowOff>32396</xdr:rowOff>
    </xdr:from>
    <xdr:ext cx="2000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38539</xdr:colOff>
      <xdr:row>64</xdr:row>
      <xdr:rowOff>32396</xdr:rowOff>
    </xdr:from>
    <xdr:ext cx="2000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38539</xdr:colOff>
      <xdr:row>64</xdr:row>
      <xdr:rowOff>32396</xdr:rowOff>
    </xdr:from>
    <xdr:ext cx="2000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38539</xdr:colOff>
      <xdr:row>64</xdr:row>
      <xdr:rowOff>32396</xdr:rowOff>
    </xdr:from>
    <xdr:ext cx="2000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38539</xdr:colOff>
      <xdr:row>64</xdr:row>
      <xdr:rowOff>32396</xdr:rowOff>
    </xdr:from>
    <xdr:ext cx="2000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29</xdr:col>
      <xdr:colOff>38539</xdr:colOff>
      <xdr:row>64</xdr:row>
      <xdr:rowOff>32396</xdr:rowOff>
    </xdr:from>
    <xdr:ext cx="2000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41</xdr:col>
      <xdr:colOff>39575</xdr:colOff>
      <xdr:row>64</xdr:row>
      <xdr:rowOff>32396</xdr:rowOff>
    </xdr:from>
    <xdr:ext cx="590550"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38539</xdr:colOff>
      <xdr:row>65</xdr:row>
      <xdr:rowOff>32396</xdr:rowOff>
    </xdr:from>
    <xdr:ext cx="2000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38539</xdr:colOff>
      <xdr:row>65</xdr:row>
      <xdr:rowOff>32396</xdr:rowOff>
    </xdr:from>
    <xdr:ext cx="2000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38539</xdr:colOff>
      <xdr:row>65</xdr:row>
      <xdr:rowOff>32396</xdr:rowOff>
    </xdr:from>
    <xdr:ext cx="2000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38539</xdr:colOff>
      <xdr:row>65</xdr:row>
      <xdr:rowOff>32396</xdr:rowOff>
    </xdr:from>
    <xdr:ext cx="2000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38539</xdr:colOff>
      <xdr:row>65</xdr:row>
      <xdr:rowOff>32396</xdr:rowOff>
    </xdr:from>
    <xdr:ext cx="2000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38539</xdr:colOff>
      <xdr:row>65</xdr:row>
      <xdr:rowOff>32396</xdr:rowOff>
    </xdr:from>
    <xdr:ext cx="2000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38539</xdr:colOff>
      <xdr:row>65</xdr:row>
      <xdr:rowOff>32396</xdr:rowOff>
    </xdr:from>
    <xdr:ext cx="2000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38539</xdr:colOff>
      <xdr:row>65</xdr:row>
      <xdr:rowOff>32396</xdr:rowOff>
    </xdr:from>
    <xdr:ext cx="2000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38539</xdr:colOff>
      <xdr:row>65</xdr:row>
      <xdr:rowOff>32396</xdr:rowOff>
    </xdr:from>
    <xdr:ext cx="2000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38539</xdr:colOff>
      <xdr:row>65</xdr:row>
      <xdr:rowOff>32396</xdr:rowOff>
    </xdr:from>
    <xdr:ext cx="2000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38539</xdr:colOff>
      <xdr:row>65</xdr:row>
      <xdr:rowOff>32396</xdr:rowOff>
    </xdr:from>
    <xdr:ext cx="20002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38539</xdr:colOff>
      <xdr:row>65</xdr:row>
      <xdr:rowOff>32396</xdr:rowOff>
    </xdr:from>
    <xdr:ext cx="2000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38539</xdr:colOff>
      <xdr:row>65</xdr:row>
      <xdr:rowOff>32396</xdr:rowOff>
    </xdr:from>
    <xdr:ext cx="2000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38539</xdr:colOff>
      <xdr:row>65</xdr:row>
      <xdr:rowOff>32396</xdr:rowOff>
    </xdr:from>
    <xdr:ext cx="2000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38539</xdr:colOff>
      <xdr:row>65</xdr:row>
      <xdr:rowOff>32396</xdr:rowOff>
    </xdr:from>
    <xdr:ext cx="2000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38539</xdr:colOff>
      <xdr:row>65</xdr:row>
      <xdr:rowOff>32396</xdr:rowOff>
    </xdr:from>
    <xdr:ext cx="2000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38539</xdr:colOff>
      <xdr:row>65</xdr:row>
      <xdr:rowOff>32396</xdr:rowOff>
    </xdr:from>
    <xdr:ext cx="2000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38539</xdr:colOff>
      <xdr:row>65</xdr:row>
      <xdr:rowOff>32396</xdr:rowOff>
    </xdr:from>
    <xdr:ext cx="2000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38539</xdr:colOff>
      <xdr:row>65</xdr:row>
      <xdr:rowOff>32396</xdr:rowOff>
    </xdr:from>
    <xdr:ext cx="2000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38539</xdr:colOff>
      <xdr:row>65</xdr:row>
      <xdr:rowOff>32396</xdr:rowOff>
    </xdr:from>
    <xdr:ext cx="2000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29</xdr:col>
      <xdr:colOff>38539</xdr:colOff>
      <xdr:row>65</xdr:row>
      <xdr:rowOff>32396</xdr:rowOff>
    </xdr:from>
    <xdr:ext cx="2000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41</xdr:col>
      <xdr:colOff>39575</xdr:colOff>
      <xdr:row>65</xdr:row>
      <xdr:rowOff>32396</xdr:rowOff>
    </xdr:from>
    <xdr:ext cx="590550"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38539</xdr:colOff>
      <xdr:row>66</xdr:row>
      <xdr:rowOff>32396</xdr:rowOff>
    </xdr:from>
    <xdr:ext cx="2000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38539</xdr:colOff>
      <xdr:row>66</xdr:row>
      <xdr:rowOff>32396</xdr:rowOff>
    </xdr:from>
    <xdr:ext cx="2000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38539</xdr:colOff>
      <xdr:row>66</xdr:row>
      <xdr:rowOff>32396</xdr:rowOff>
    </xdr:from>
    <xdr:ext cx="2000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38539</xdr:colOff>
      <xdr:row>66</xdr:row>
      <xdr:rowOff>32396</xdr:rowOff>
    </xdr:from>
    <xdr:ext cx="2000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38539</xdr:colOff>
      <xdr:row>66</xdr:row>
      <xdr:rowOff>32396</xdr:rowOff>
    </xdr:from>
    <xdr:ext cx="2000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38539</xdr:colOff>
      <xdr:row>66</xdr:row>
      <xdr:rowOff>32396</xdr:rowOff>
    </xdr:from>
    <xdr:ext cx="2000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38539</xdr:colOff>
      <xdr:row>66</xdr:row>
      <xdr:rowOff>32396</xdr:rowOff>
    </xdr:from>
    <xdr:ext cx="2000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38539</xdr:colOff>
      <xdr:row>66</xdr:row>
      <xdr:rowOff>32396</xdr:rowOff>
    </xdr:from>
    <xdr:ext cx="2000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38539</xdr:colOff>
      <xdr:row>66</xdr:row>
      <xdr:rowOff>32396</xdr:rowOff>
    </xdr:from>
    <xdr:ext cx="20002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38539</xdr:colOff>
      <xdr:row>66</xdr:row>
      <xdr:rowOff>32396</xdr:rowOff>
    </xdr:from>
    <xdr:ext cx="2000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38539</xdr:colOff>
      <xdr:row>66</xdr:row>
      <xdr:rowOff>32396</xdr:rowOff>
    </xdr:from>
    <xdr:ext cx="2000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38539</xdr:colOff>
      <xdr:row>66</xdr:row>
      <xdr:rowOff>32396</xdr:rowOff>
    </xdr:from>
    <xdr:ext cx="2000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38539</xdr:colOff>
      <xdr:row>66</xdr:row>
      <xdr:rowOff>32396</xdr:rowOff>
    </xdr:from>
    <xdr:ext cx="2000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38539</xdr:colOff>
      <xdr:row>66</xdr:row>
      <xdr:rowOff>32396</xdr:rowOff>
    </xdr:from>
    <xdr:ext cx="2000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38539</xdr:colOff>
      <xdr:row>66</xdr:row>
      <xdr:rowOff>32396</xdr:rowOff>
    </xdr:from>
    <xdr:ext cx="2000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38539</xdr:colOff>
      <xdr:row>66</xdr:row>
      <xdr:rowOff>32396</xdr:rowOff>
    </xdr:from>
    <xdr:ext cx="2000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38539</xdr:colOff>
      <xdr:row>66</xdr:row>
      <xdr:rowOff>32396</xdr:rowOff>
    </xdr:from>
    <xdr:ext cx="2000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38539</xdr:colOff>
      <xdr:row>66</xdr:row>
      <xdr:rowOff>32396</xdr:rowOff>
    </xdr:from>
    <xdr:ext cx="2000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38539</xdr:colOff>
      <xdr:row>66</xdr:row>
      <xdr:rowOff>32396</xdr:rowOff>
    </xdr:from>
    <xdr:ext cx="2000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38539</xdr:colOff>
      <xdr:row>66</xdr:row>
      <xdr:rowOff>32396</xdr:rowOff>
    </xdr:from>
    <xdr:ext cx="2000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38539</xdr:colOff>
      <xdr:row>66</xdr:row>
      <xdr:rowOff>32396</xdr:rowOff>
    </xdr:from>
    <xdr:ext cx="2000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38539</xdr:colOff>
      <xdr:row>66</xdr:row>
      <xdr:rowOff>32396</xdr:rowOff>
    </xdr:from>
    <xdr:ext cx="2000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29</xdr:col>
      <xdr:colOff>38539</xdr:colOff>
      <xdr:row>66</xdr:row>
      <xdr:rowOff>32396</xdr:rowOff>
    </xdr:from>
    <xdr:ext cx="2000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41</xdr:col>
      <xdr:colOff>39575</xdr:colOff>
      <xdr:row>66</xdr:row>
      <xdr:rowOff>32396</xdr:rowOff>
    </xdr:from>
    <xdr:ext cx="590550"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38539</xdr:colOff>
      <xdr:row>67</xdr:row>
      <xdr:rowOff>32396</xdr:rowOff>
    </xdr:from>
    <xdr:ext cx="2000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38539</xdr:colOff>
      <xdr:row>67</xdr:row>
      <xdr:rowOff>32396</xdr:rowOff>
    </xdr:from>
    <xdr:ext cx="2000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38539</xdr:colOff>
      <xdr:row>67</xdr:row>
      <xdr:rowOff>32396</xdr:rowOff>
    </xdr:from>
    <xdr:ext cx="2000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38539</xdr:colOff>
      <xdr:row>67</xdr:row>
      <xdr:rowOff>32396</xdr:rowOff>
    </xdr:from>
    <xdr:ext cx="2000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38539</xdr:colOff>
      <xdr:row>67</xdr:row>
      <xdr:rowOff>32396</xdr:rowOff>
    </xdr:from>
    <xdr:ext cx="2000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38539</xdr:colOff>
      <xdr:row>67</xdr:row>
      <xdr:rowOff>32396</xdr:rowOff>
    </xdr:from>
    <xdr:ext cx="2000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38539</xdr:colOff>
      <xdr:row>67</xdr:row>
      <xdr:rowOff>32396</xdr:rowOff>
    </xdr:from>
    <xdr:ext cx="20002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38539</xdr:colOff>
      <xdr:row>67</xdr:row>
      <xdr:rowOff>32396</xdr:rowOff>
    </xdr:from>
    <xdr:ext cx="2000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38539</xdr:colOff>
      <xdr:row>67</xdr:row>
      <xdr:rowOff>32396</xdr:rowOff>
    </xdr:from>
    <xdr:ext cx="2000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38539</xdr:colOff>
      <xdr:row>67</xdr:row>
      <xdr:rowOff>32396</xdr:rowOff>
    </xdr:from>
    <xdr:ext cx="2000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38539</xdr:colOff>
      <xdr:row>67</xdr:row>
      <xdr:rowOff>32396</xdr:rowOff>
    </xdr:from>
    <xdr:ext cx="2000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38539</xdr:colOff>
      <xdr:row>67</xdr:row>
      <xdr:rowOff>32396</xdr:rowOff>
    </xdr:from>
    <xdr:ext cx="2000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38539</xdr:colOff>
      <xdr:row>67</xdr:row>
      <xdr:rowOff>32396</xdr:rowOff>
    </xdr:from>
    <xdr:ext cx="2000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38539</xdr:colOff>
      <xdr:row>67</xdr:row>
      <xdr:rowOff>32396</xdr:rowOff>
    </xdr:from>
    <xdr:ext cx="2000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38539</xdr:colOff>
      <xdr:row>67</xdr:row>
      <xdr:rowOff>32396</xdr:rowOff>
    </xdr:from>
    <xdr:ext cx="2000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38539</xdr:colOff>
      <xdr:row>67</xdr:row>
      <xdr:rowOff>32396</xdr:rowOff>
    </xdr:from>
    <xdr:ext cx="2000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38539</xdr:colOff>
      <xdr:row>67</xdr:row>
      <xdr:rowOff>32396</xdr:rowOff>
    </xdr:from>
    <xdr:ext cx="2000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38539</xdr:colOff>
      <xdr:row>67</xdr:row>
      <xdr:rowOff>32396</xdr:rowOff>
    </xdr:from>
    <xdr:ext cx="2000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38539</xdr:colOff>
      <xdr:row>67</xdr:row>
      <xdr:rowOff>32396</xdr:rowOff>
    </xdr:from>
    <xdr:ext cx="2000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38539</xdr:colOff>
      <xdr:row>67</xdr:row>
      <xdr:rowOff>32396</xdr:rowOff>
    </xdr:from>
    <xdr:ext cx="2000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38539</xdr:colOff>
      <xdr:row>67</xdr:row>
      <xdr:rowOff>32396</xdr:rowOff>
    </xdr:from>
    <xdr:ext cx="2000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29</xdr:col>
      <xdr:colOff>38539</xdr:colOff>
      <xdr:row>67</xdr:row>
      <xdr:rowOff>32396</xdr:rowOff>
    </xdr:from>
    <xdr:ext cx="2000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41181</xdr:colOff>
      <xdr:row>12</xdr:row>
      <xdr:rowOff>24845</xdr:rowOff>
    </xdr:from>
    <xdr:ext cx="23812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41181</xdr:colOff>
      <xdr:row>13</xdr:row>
      <xdr:rowOff>24845</xdr:rowOff>
    </xdr:from>
    <xdr:ext cx="23812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41181</xdr:colOff>
      <xdr:row>14</xdr:row>
      <xdr:rowOff>24845</xdr:rowOff>
    </xdr:from>
    <xdr:ext cx="23812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38539</xdr:colOff>
      <xdr:row>63</xdr:row>
      <xdr:rowOff>32396</xdr:rowOff>
    </xdr:from>
    <xdr:ext cx="2000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38539</xdr:colOff>
      <xdr:row>64</xdr:row>
      <xdr:rowOff>32396</xdr:rowOff>
    </xdr:from>
    <xdr:ext cx="2000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38539</xdr:colOff>
      <xdr:row>65</xdr:row>
      <xdr:rowOff>32396</xdr:rowOff>
    </xdr:from>
    <xdr:ext cx="2000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38539</xdr:colOff>
      <xdr:row>66</xdr:row>
      <xdr:rowOff>32396</xdr:rowOff>
    </xdr:from>
    <xdr:ext cx="2000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38539</xdr:colOff>
      <xdr:row>67</xdr:row>
      <xdr:rowOff>32396</xdr:rowOff>
    </xdr:from>
    <xdr:ext cx="2000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41181</xdr:colOff>
      <xdr:row>12</xdr:row>
      <xdr:rowOff>24845</xdr:rowOff>
    </xdr:from>
    <xdr:ext cx="23812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41181</xdr:colOff>
      <xdr:row>13</xdr:row>
      <xdr:rowOff>24845</xdr:rowOff>
    </xdr:from>
    <xdr:ext cx="23812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41181</xdr:colOff>
      <xdr:row>14</xdr:row>
      <xdr:rowOff>24845</xdr:rowOff>
    </xdr:from>
    <xdr:ext cx="23812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38539</xdr:colOff>
      <xdr:row>63</xdr:row>
      <xdr:rowOff>32396</xdr:rowOff>
    </xdr:from>
    <xdr:ext cx="2000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38539</xdr:colOff>
      <xdr:row>64</xdr:row>
      <xdr:rowOff>32396</xdr:rowOff>
    </xdr:from>
    <xdr:ext cx="2000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38539</xdr:colOff>
      <xdr:row>65</xdr:row>
      <xdr:rowOff>32396</xdr:rowOff>
    </xdr:from>
    <xdr:ext cx="2000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38539</xdr:colOff>
      <xdr:row>66</xdr:row>
      <xdr:rowOff>32396</xdr:rowOff>
    </xdr:from>
    <xdr:ext cx="2000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38539</xdr:colOff>
      <xdr:row>67</xdr:row>
      <xdr:rowOff>32396</xdr:rowOff>
    </xdr:from>
    <xdr:ext cx="2000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41181</xdr:colOff>
      <xdr:row>12</xdr:row>
      <xdr:rowOff>24845</xdr:rowOff>
    </xdr:from>
    <xdr:ext cx="23812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41181</xdr:colOff>
      <xdr:row>13</xdr:row>
      <xdr:rowOff>24845</xdr:rowOff>
    </xdr:from>
    <xdr:ext cx="23812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41181</xdr:colOff>
      <xdr:row>14</xdr:row>
      <xdr:rowOff>24845</xdr:rowOff>
    </xdr:from>
    <xdr:ext cx="23812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38539</xdr:colOff>
      <xdr:row>63</xdr:row>
      <xdr:rowOff>32396</xdr:rowOff>
    </xdr:from>
    <xdr:ext cx="2000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38539</xdr:colOff>
      <xdr:row>64</xdr:row>
      <xdr:rowOff>32396</xdr:rowOff>
    </xdr:from>
    <xdr:ext cx="2000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38539</xdr:colOff>
      <xdr:row>65</xdr:row>
      <xdr:rowOff>32396</xdr:rowOff>
    </xdr:from>
    <xdr:ext cx="2000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38539</xdr:colOff>
      <xdr:row>66</xdr:row>
      <xdr:rowOff>32396</xdr:rowOff>
    </xdr:from>
    <xdr:ext cx="2000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38539</xdr:colOff>
      <xdr:row>67</xdr:row>
      <xdr:rowOff>32396</xdr:rowOff>
    </xdr:from>
    <xdr:ext cx="2000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41181</xdr:colOff>
      <xdr:row>12</xdr:row>
      <xdr:rowOff>24845</xdr:rowOff>
    </xdr:from>
    <xdr:ext cx="23812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41181</xdr:colOff>
      <xdr:row>13</xdr:row>
      <xdr:rowOff>24845</xdr:rowOff>
    </xdr:from>
    <xdr:ext cx="23812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41181</xdr:colOff>
      <xdr:row>14</xdr:row>
      <xdr:rowOff>24845</xdr:rowOff>
    </xdr:from>
    <xdr:ext cx="23812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38539</xdr:colOff>
      <xdr:row>63</xdr:row>
      <xdr:rowOff>32396</xdr:rowOff>
    </xdr:from>
    <xdr:ext cx="2000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38539</xdr:colOff>
      <xdr:row>64</xdr:row>
      <xdr:rowOff>32396</xdr:rowOff>
    </xdr:from>
    <xdr:ext cx="2000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38539</xdr:colOff>
      <xdr:row>65</xdr:row>
      <xdr:rowOff>32396</xdr:rowOff>
    </xdr:from>
    <xdr:ext cx="2000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38539</xdr:colOff>
      <xdr:row>66</xdr:row>
      <xdr:rowOff>32396</xdr:rowOff>
    </xdr:from>
    <xdr:ext cx="2000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38539</xdr:colOff>
      <xdr:row>67</xdr:row>
      <xdr:rowOff>32396</xdr:rowOff>
    </xdr:from>
    <xdr:ext cx="2000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41181</xdr:colOff>
      <xdr:row>12</xdr:row>
      <xdr:rowOff>24845</xdr:rowOff>
    </xdr:from>
    <xdr:ext cx="23812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41181</xdr:colOff>
      <xdr:row>13</xdr:row>
      <xdr:rowOff>24845</xdr:rowOff>
    </xdr:from>
    <xdr:ext cx="23812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41181</xdr:colOff>
      <xdr:row>14</xdr:row>
      <xdr:rowOff>24845</xdr:rowOff>
    </xdr:from>
    <xdr:ext cx="23812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38539</xdr:colOff>
      <xdr:row>63</xdr:row>
      <xdr:rowOff>32396</xdr:rowOff>
    </xdr:from>
    <xdr:ext cx="2000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38539</xdr:colOff>
      <xdr:row>64</xdr:row>
      <xdr:rowOff>32396</xdr:rowOff>
    </xdr:from>
    <xdr:ext cx="2000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38539</xdr:colOff>
      <xdr:row>65</xdr:row>
      <xdr:rowOff>32396</xdr:rowOff>
    </xdr:from>
    <xdr:ext cx="2000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38539</xdr:colOff>
      <xdr:row>66</xdr:row>
      <xdr:rowOff>32396</xdr:rowOff>
    </xdr:from>
    <xdr:ext cx="2000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38539</xdr:colOff>
      <xdr:row>67</xdr:row>
      <xdr:rowOff>32396</xdr:rowOff>
    </xdr:from>
    <xdr:ext cx="2000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41181</xdr:colOff>
      <xdr:row>12</xdr:row>
      <xdr:rowOff>24845</xdr:rowOff>
    </xdr:from>
    <xdr:ext cx="23812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41181</xdr:colOff>
      <xdr:row>13</xdr:row>
      <xdr:rowOff>24845</xdr:rowOff>
    </xdr:from>
    <xdr:ext cx="23812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41181</xdr:colOff>
      <xdr:row>14</xdr:row>
      <xdr:rowOff>24845</xdr:rowOff>
    </xdr:from>
    <xdr:ext cx="23812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38539</xdr:colOff>
      <xdr:row>63</xdr:row>
      <xdr:rowOff>32396</xdr:rowOff>
    </xdr:from>
    <xdr:ext cx="2000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38539</xdr:colOff>
      <xdr:row>64</xdr:row>
      <xdr:rowOff>32396</xdr:rowOff>
    </xdr:from>
    <xdr:ext cx="2000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38539</xdr:colOff>
      <xdr:row>65</xdr:row>
      <xdr:rowOff>32396</xdr:rowOff>
    </xdr:from>
    <xdr:ext cx="2000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38539</xdr:colOff>
      <xdr:row>66</xdr:row>
      <xdr:rowOff>32396</xdr:rowOff>
    </xdr:from>
    <xdr:ext cx="2000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38539</xdr:colOff>
      <xdr:row>67</xdr:row>
      <xdr:rowOff>32396</xdr:rowOff>
    </xdr:from>
    <xdr:ext cx="2000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41181</xdr:colOff>
      <xdr:row>12</xdr:row>
      <xdr:rowOff>24845</xdr:rowOff>
    </xdr:from>
    <xdr:ext cx="23812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41181</xdr:colOff>
      <xdr:row>13</xdr:row>
      <xdr:rowOff>24845</xdr:rowOff>
    </xdr:from>
    <xdr:ext cx="23812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41181</xdr:colOff>
      <xdr:row>14</xdr:row>
      <xdr:rowOff>24845</xdr:rowOff>
    </xdr:from>
    <xdr:ext cx="23812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38539</xdr:colOff>
      <xdr:row>63</xdr:row>
      <xdr:rowOff>32396</xdr:rowOff>
    </xdr:from>
    <xdr:ext cx="2000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38539</xdr:colOff>
      <xdr:row>64</xdr:row>
      <xdr:rowOff>32396</xdr:rowOff>
    </xdr:from>
    <xdr:ext cx="2000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38539</xdr:colOff>
      <xdr:row>65</xdr:row>
      <xdr:rowOff>32396</xdr:rowOff>
    </xdr:from>
    <xdr:ext cx="2000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38539</xdr:colOff>
      <xdr:row>66</xdr:row>
      <xdr:rowOff>32396</xdr:rowOff>
    </xdr:from>
    <xdr:ext cx="2000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38539</xdr:colOff>
      <xdr:row>67</xdr:row>
      <xdr:rowOff>32396</xdr:rowOff>
    </xdr:from>
    <xdr:ext cx="2000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41181</xdr:colOff>
      <xdr:row>12</xdr:row>
      <xdr:rowOff>24845</xdr:rowOff>
    </xdr:from>
    <xdr:ext cx="23812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41181</xdr:colOff>
      <xdr:row>13</xdr:row>
      <xdr:rowOff>24845</xdr:rowOff>
    </xdr:from>
    <xdr:ext cx="23812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41181</xdr:colOff>
      <xdr:row>14</xdr:row>
      <xdr:rowOff>24845</xdr:rowOff>
    </xdr:from>
    <xdr:ext cx="23812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38539</xdr:colOff>
      <xdr:row>63</xdr:row>
      <xdr:rowOff>32396</xdr:rowOff>
    </xdr:from>
    <xdr:ext cx="2000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38539</xdr:colOff>
      <xdr:row>64</xdr:row>
      <xdr:rowOff>32396</xdr:rowOff>
    </xdr:from>
    <xdr:ext cx="2000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38539</xdr:colOff>
      <xdr:row>65</xdr:row>
      <xdr:rowOff>32396</xdr:rowOff>
    </xdr:from>
    <xdr:ext cx="2000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38539</xdr:colOff>
      <xdr:row>66</xdr:row>
      <xdr:rowOff>32396</xdr:rowOff>
    </xdr:from>
    <xdr:ext cx="2000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38539</xdr:colOff>
      <xdr:row>67</xdr:row>
      <xdr:rowOff>32396</xdr:rowOff>
    </xdr:from>
    <xdr:ext cx="2000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41181</xdr:colOff>
      <xdr:row>12</xdr:row>
      <xdr:rowOff>24845</xdr:rowOff>
    </xdr:from>
    <xdr:ext cx="23812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41181</xdr:colOff>
      <xdr:row>13</xdr:row>
      <xdr:rowOff>24845</xdr:rowOff>
    </xdr:from>
    <xdr:ext cx="23812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41181</xdr:colOff>
      <xdr:row>14</xdr:row>
      <xdr:rowOff>24845</xdr:rowOff>
    </xdr:from>
    <xdr:ext cx="23812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38539</xdr:colOff>
      <xdr:row>63</xdr:row>
      <xdr:rowOff>32396</xdr:rowOff>
    </xdr:from>
    <xdr:ext cx="2000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38539</xdr:colOff>
      <xdr:row>64</xdr:row>
      <xdr:rowOff>32396</xdr:rowOff>
    </xdr:from>
    <xdr:ext cx="2000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38539</xdr:colOff>
      <xdr:row>65</xdr:row>
      <xdr:rowOff>32396</xdr:rowOff>
    </xdr:from>
    <xdr:ext cx="2000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38539</xdr:colOff>
      <xdr:row>66</xdr:row>
      <xdr:rowOff>32396</xdr:rowOff>
    </xdr:from>
    <xdr:ext cx="2000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38539</xdr:colOff>
      <xdr:row>67</xdr:row>
      <xdr:rowOff>32396</xdr:rowOff>
    </xdr:from>
    <xdr:ext cx="2000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41181</xdr:colOff>
      <xdr:row>12</xdr:row>
      <xdr:rowOff>24845</xdr:rowOff>
    </xdr:from>
    <xdr:ext cx="23812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41181</xdr:colOff>
      <xdr:row>13</xdr:row>
      <xdr:rowOff>24845</xdr:rowOff>
    </xdr:from>
    <xdr:ext cx="23812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41181</xdr:colOff>
      <xdr:row>14</xdr:row>
      <xdr:rowOff>24845</xdr:rowOff>
    </xdr:from>
    <xdr:ext cx="23812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38539</xdr:colOff>
      <xdr:row>63</xdr:row>
      <xdr:rowOff>32396</xdr:rowOff>
    </xdr:from>
    <xdr:ext cx="2000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38539</xdr:colOff>
      <xdr:row>64</xdr:row>
      <xdr:rowOff>32396</xdr:rowOff>
    </xdr:from>
    <xdr:ext cx="2000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38539</xdr:colOff>
      <xdr:row>65</xdr:row>
      <xdr:rowOff>32396</xdr:rowOff>
    </xdr:from>
    <xdr:ext cx="2000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38539</xdr:colOff>
      <xdr:row>66</xdr:row>
      <xdr:rowOff>32396</xdr:rowOff>
    </xdr:from>
    <xdr:ext cx="2000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38539</xdr:colOff>
      <xdr:row>67</xdr:row>
      <xdr:rowOff>32396</xdr:rowOff>
    </xdr:from>
    <xdr:ext cx="2000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41181</xdr:colOff>
      <xdr:row>12</xdr:row>
      <xdr:rowOff>24845</xdr:rowOff>
    </xdr:from>
    <xdr:ext cx="23812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41181</xdr:colOff>
      <xdr:row>13</xdr:row>
      <xdr:rowOff>24845</xdr:rowOff>
    </xdr:from>
    <xdr:ext cx="23812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41181</xdr:colOff>
      <xdr:row>14</xdr:row>
      <xdr:rowOff>24845</xdr:rowOff>
    </xdr:from>
    <xdr:ext cx="23812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38539</xdr:colOff>
      <xdr:row>63</xdr:row>
      <xdr:rowOff>32396</xdr:rowOff>
    </xdr:from>
    <xdr:ext cx="2000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38539</xdr:colOff>
      <xdr:row>64</xdr:row>
      <xdr:rowOff>32396</xdr:rowOff>
    </xdr:from>
    <xdr:ext cx="2000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38539</xdr:colOff>
      <xdr:row>65</xdr:row>
      <xdr:rowOff>32396</xdr:rowOff>
    </xdr:from>
    <xdr:ext cx="2000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38539</xdr:colOff>
      <xdr:row>66</xdr:row>
      <xdr:rowOff>32396</xdr:rowOff>
    </xdr:from>
    <xdr:ext cx="2000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38539</xdr:colOff>
      <xdr:row>67</xdr:row>
      <xdr:rowOff>32396</xdr:rowOff>
    </xdr:from>
    <xdr:ext cx="2000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41181</xdr:colOff>
      <xdr:row>12</xdr:row>
      <xdr:rowOff>24845</xdr:rowOff>
    </xdr:from>
    <xdr:ext cx="23812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41181</xdr:colOff>
      <xdr:row>13</xdr:row>
      <xdr:rowOff>24845</xdr:rowOff>
    </xdr:from>
    <xdr:ext cx="23812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41181</xdr:colOff>
      <xdr:row>14</xdr:row>
      <xdr:rowOff>24845</xdr:rowOff>
    </xdr:from>
    <xdr:ext cx="23812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38539</xdr:colOff>
      <xdr:row>63</xdr:row>
      <xdr:rowOff>32396</xdr:rowOff>
    </xdr:from>
    <xdr:ext cx="2000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38539</xdr:colOff>
      <xdr:row>64</xdr:row>
      <xdr:rowOff>32396</xdr:rowOff>
    </xdr:from>
    <xdr:ext cx="2000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38539</xdr:colOff>
      <xdr:row>65</xdr:row>
      <xdr:rowOff>32396</xdr:rowOff>
    </xdr:from>
    <xdr:ext cx="2000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38539</xdr:colOff>
      <xdr:row>66</xdr:row>
      <xdr:rowOff>32396</xdr:rowOff>
    </xdr:from>
    <xdr:ext cx="2000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38539</xdr:colOff>
      <xdr:row>67</xdr:row>
      <xdr:rowOff>32396</xdr:rowOff>
    </xdr:from>
    <xdr:ext cx="2000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41181</xdr:colOff>
      <xdr:row>12</xdr:row>
      <xdr:rowOff>24845</xdr:rowOff>
    </xdr:from>
    <xdr:ext cx="23812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41181</xdr:colOff>
      <xdr:row>13</xdr:row>
      <xdr:rowOff>24845</xdr:rowOff>
    </xdr:from>
    <xdr:ext cx="23812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41181</xdr:colOff>
      <xdr:row>14</xdr:row>
      <xdr:rowOff>24845</xdr:rowOff>
    </xdr:from>
    <xdr:ext cx="23812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38539</xdr:colOff>
      <xdr:row>63</xdr:row>
      <xdr:rowOff>32396</xdr:rowOff>
    </xdr:from>
    <xdr:ext cx="2000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38539</xdr:colOff>
      <xdr:row>64</xdr:row>
      <xdr:rowOff>32396</xdr:rowOff>
    </xdr:from>
    <xdr:ext cx="2000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38539</xdr:colOff>
      <xdr:row>65</xdr:row>
      <xdr:rowOff>32396</xdr:rowOff>
    </xdr:from>
    <xdr:ext cx="2000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38539</xdr:colOff>
      <xdr:row>66</xdr:row>
      <xdr:rowOff>32396</xdr:rowOff>
    </xdr:from>
    <xdr:ext cx="2000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38539</xdr:colOff>
      <xdr:row>67</xdr:row>
      <xdr:rowOff>32396</xdr:rowOff>
    </xdr:from>
    <xdr:ext cx="2000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41181</xdr:colOff>
      <xdr:row>12</xdr:row>
      <xdr:rowOff>24845</xdr:rowOff>
    </xdr:from>
    <xdr:ext cx="23812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41181</xdr:colOff>
      <xdr:row>13</xdr:row>
      <xdr:rowOff>24845</xdr:rowOff>
    </xdr:from>
    <xdr:ext cx="23812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41181</xdr:colOff>
      <xdr:row>14</xdr:row>
      <xdr:rowOff>24845</xdr:rowOff>
    </xdr:from>
    <xdr:ext cx="23812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38539</xdr:colOff>
      <xdr:row>63</xdr:row>
      <xdr:rowOff>32396</xdr:rowOff>
    </xdr:from>
    <xdr:ext cx="2000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38539</xdr:colOff>
      <xdr:row>64</xdr:row>
      <xdr:rowOff>32396</xdr:rowOff>
    </xdr:from>
    <xdr:ext cx="2000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38539</xdr:colOff>
      <xdr:row>65</xdr:row>
      <xdr:rowOff>32396</xdr:rowOff>
    </xdr:from>
    <xdr:ext cx="2000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38539</xdr:colOff>
      <xdr:row>66</xdr:row>
      <xdr:rowOff>32396</xdr:rowOff>
    </xdr:from>
    <xdr:ext cx="2000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38539</xdr:colOff>
      <xdr:row>67</xdr:row>
      <xdr:rowOff>32396</xdr:rowOff>
    </xdr:from>
    <xdr:ext cx="2000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41181</xdr:colOff>
      <xdr:row>12</xdr:row>
      <xdr:rowOff>24845</xdr:rowOff>
    </xdr:from>
    <xdr:ext cx="23812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41181</xdr:colOff>
      <xdr:row>13</xdr:row>
      <xdr:rowOff>24845</xdr:rowOff>
    </xdr:from>
    <xdr:ext cx="23812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41181</xdr:colOff>
      <xdr:row>14</xdr:row>
      <xdr:rowOff>24845</xdr:rowOff>
    </xdr:from>
    <xdr:ext cx="23812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38539</xdr:colOff>
      <xdr:row>63</xdr:row>
      <xdr:rowOff>32396</xdr:rowOff>
    </xdr:from>
    <xdr:ext cx="2000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38539</xdr:colOff>
      <xdr:row>64</xdr:row>
      <xdr:rowOff>32396</xdr:rowOff>
    </xdr:from>
    <xdr:ext cx="2000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38539</xdr:colOff>
      <xdr:row>65</xdr:row>
      <xdr:rowOff>32396</xdr:rowOff>
    </xdr:from>
    <xdr:ext cx="2000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38539</xdr:colOff>
      <xdr:row>66</xdr:row>
      <xdr:rowOff>32396</xdr:rowOff>
    </xdr:from>
    <xdr:ext cx="2000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38539</xdr:colOff>
      <xdr:row>67</xdr:row>
      <xdr:rowOff>32396</xdr:rowOff>
    </xdr:from>
    <xdr:ext cx="2000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41181</xdr:colOff>
      <xdr:row>12</xdr:row>
      <xdr:rowOff>24845</xdr:rowOff>
    </xdr:from>
    <xdr:ext cx="23812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41181</xdr:colOff>
      <xdr:row>13</xdr:row>
      <xdr:rowOff>24845</xdr:rowOff>
    </xdr:from>
    <xdr:ext cx="23812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41181</xdr:colOff>
      <xdr:row>14</xdr:row>
      <xdr:rowOff>24845</xdr:rowOff>
    </xdr:from>
    <xdr:ext cx="23812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38539</xdr:colOff>
      <xdr:row>63</xdr:row>
      <xdr:rowOff>32396</xdr:rowOff>
    </xdr:from>
    <xdr:ext cx="2000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38539</xdr:colOff>
      <xdr:row>64</xdr:row>
      <xdr:rowOff>32396</xdr:rowOff>
    </xdr:from>
    <xdr:ext cx="2000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38539</xdr:colOff>
      <xdr:row>65</xdr:row>
      <xdr:rowOff>32396</xdr:rowOff>
    </xdr:from>
    <xdr:ext cx="2000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38539</xdr:colOff>
      <xdr:row>66</xdr:row>
      <xdr:rowOff>32396</xdr:rowOff>
    </xdr:from>
    <xdr:ext cx="2000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38539</xdr:colOff>
      <xdr:row>67</xdr:row>
      <xdr:rowOff>32396</xdr:rowOff>
    </xdr:from>
    <xdr:ext cx="2000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41181</xdr:colOff>
      <xdr:row>12</xdr:row>
      <xdr:rowOff>24845</xdr:rowOff>
    </xdr:from>
    <xdr:ext cx="23812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41181</xdr:colOff>
      <xdr:row>13</xdr:row>
      <xdr:rowOff>24845</xdr:rowOff>
    </xdr:from>
    <xdr:ext cx="23812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41181</xdr:colOff>
      <xdr:row>14</xdr:row>
      <xdr:rowOff>24845</xdr:rowOff>
    </xdr:from>
    <xdr:ext cx="23812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38539</xdr:colOff>
      <xdr:row>63</xdr:row>
      <xdr:rowOff>32396</xdr:rowOff>
    </xdr:from>
    <xdr:ext cx="2000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38539</xdr:colOff>
      <xdr:row>64</xdr:row>
      <xdr:rowOff>32396</xdr:rowOff>
    </xdr:from>
    <xdr:ext cx="2000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38539</xdr:colOff>
      <xdr:row>65</xdr:row>
      <xdr:rowOff>32396</xdr:rowOff>
    </xdr:from>
    <xdr:ext cx="2000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38539</xdr:colOff>
      <xdr:row>66</xdr:row>
      <xdr:rowOff>32396</xdr:rowOff>
    </xdr:from>
    <xdr:ext cx="2000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41181</xdr:colOff>
      <xdr:row>12</xdr:row>
      <xdr:rowOff>24845</xdr:rowOff>
    </xdr:from>
    <xdr:ext cx="23812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41181</xdr:colOff>
      <xdr:row>13</xdr:row>
      <xdr:rowOff>24845</xdr:rowOff>
    </xdr:from>
    <xdr:ext cx="23812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41181</xdr:colOff>
      <xdr:row>14</xdr:row>
      <xdr:rowOff>24845</xdr:rowOff>
    </xdr:from>
    <xdr:ext cx="23812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38539</xdr:colOff>
      <xdr:row>63</xdr:row>
      <xdr:rowOff>32396</xdr:rowOff>
    </xdr:from>
    <xdr:ext cx="2000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38539</xdr:colOff>
      <xdr:row>64</xdr:row>
      <xdr:rowOff>32396</xdr:rowOff>
    </xdr:from>
    <xdr:ext cx="2000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38539</xdr:colOff>
      <xdr:row>65</xdr:row>
      <xdr:rowOff>32396</xdr:rowOff>
    </xdr:from>
    <xdr:ext cx="2000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38539</xdr:colOff>
      <xdr:row>66</xdr:row>
      <xdr:rowOff>32396</xdr:rowOff>
    </xdr:from>
    <xdr:ext cx="2000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38539</xdr:colOff>
      <xdr:row>67</xdr:row>
      <xdr:rowOff>32396</xdr:rowOff>
    </xdr:from>
    <xdr:ext cx="2000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41181</xdr:colOff>
      <xdr:row>14</xdr:row>
      <xdr:rowOff>24845</xdr:rowOff>
    </xdr:from>
    <xdr:ext cx="23812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38539</xdr:colOff>
      <xdr:row>66</xdr:row>
      <xdr:rowOff>32396</xdr:rowOff>
    </xdr:from>
    <xdr:ext cx="2000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38539</xdr:colOff>
      <xdr:row>67</xdr:row>
      <xdr:rowOff>32396</xdr:rowOff>
    </xdr:from>
    <xdr:ext cx="2000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41181</xdr:colOff>
      <xdr:row>14</xdr:row>
      <xdr:rowOff>24845</xdr:rowOff>
    </xdr:from>
    <xdr:ext cx="23812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38539</xdr:colOff>
      <xdr:row>66</xdr:row>
      <xdr:rowOff>32396</xdr:rowOff>
    </xdr:from>
    <xdr:ext cx="2000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38539</xdr:colOff>
      <xdr:row>67</xdr:row>
      <xdr:rowOff>32396</xdr:rowOff>
    </xdr:from>
    <xdr:ext cx="2000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27</xdr:col>
      <xdr:colOff>41181</xdr:colOff>
      <xdr:row>14</xdr:row>
      <xdr:rowOff>24845</xdr:rowOff>
    </xdr:from>
    <xdr:ext cx="23812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27</xdr:col>
      <xdr:colOff>38539</xdr:colOff>
      <xdr:row>63</xdr:row>
      <xdr:rowOff>32396</xdr:rowOff>
    </xdr:from>
    <xdr:ext cx="2000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27</xdr:col>
      <xdr:colOff>38539</xdr:colOff>
      <xdr:row>65</xdr:row>
      <xdr:rowOff>32396</xdr:rowOff>
    </xdr:from>
    <xdr:ext cx="20002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27</xdr:col>
      <xdr:colOff>38539</xdr:colOff>
      <xdr:row>66</xdr:row>
      <xdr:rowOff>32396</xdr:rowOff>
    </xdr:from>
    <xdr:ext cx="20002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27</xdr:col>
      <xdr:colOff>38539</xdr:colOff>
      <xdr:row>67</xdr:row>
      <xdr:rowOff>32396</xdr:rowOff>
    </xdr:from>
    <xdr:ext cx="20002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28</xdr:col>
      <xdr:colOff>41181</xdr:colOff>
      <xdr:row>12</xdr:row>
      <xdr:rowOff>24845</xdr:rowOff>
    </xdr:from>
    <xdr:ext cx="23812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28</xdr:col>
      <xdr:colOff>41181</xdr:colOff>
      <xdr:row>13</xdr:row>
      <xdr:rowOff>24845</xdr:rowOff>
    </xdr:from>
    <xdr:ext cx="23812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28</xdr:col>
      <xdr:colOff>41181</xdr:colOff>
      <xdr:row>14</xdr:row>
      <xdr:rowOff>24845</xdr:rowOff>
    </xdr:from>
    <xdr:ext cx="23812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28</xdr:col>
      <xdr:colOff>38539</xdr:colOff>
      <xdr:row>63</xdr:row>
      <xdr:rowOff>32396</xdr:rowOff>
    </xdr:from>
    <xdr:ext cx="20002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28</xdr:col>
      <xdr:colOff>38539</xdr:colOff>
      <xdr:row>64</xdr:row>
      <xdr:rowOff>32396</xdr:rowOff>
    </xdr:from>
    <xdr:ext cx="20002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28</xdr:col>
      <xdr:colOff>38539</xdr:colOff>
      <xdr:row>65</xdr:row>
      <xdr:rowOff>32396</xdr:rowOff>
    </xdr:from>
    <xdr:ext cx="20002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28</xdr:col>
      <xdr:colOff>38539</xdr:colOff>
      <xdr:row>66</xdr:row>
      <xdr:rowOff>32396</xdr:rowOff>
    </xdr:from>
    <xdr:ext cx="20002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28</xdr:col>
      <xdr:colOff>38539</xdr:colOff>
      <xdr:row>67</xdr:row>
      <xdr:rowOff>32396</xdr:rowOff>
    </xdr:from>
    <xdr:ext cx="20002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29</xdr:col>
      <xdr:colOff>41181</xdr:colOff>
      <xdr:row>12</xdr:row>
      <xdr:rowOff>24845</xdr:rowOff>
    </xdr:from>
    <xdr:ext cx="23812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29</xdr:col>
      <xdr:colOff>41181</xdr:colOff>
      <xdr:row>13</xdr:row>
      <xdr:rowOff>24845</xdr:rowOff>
    </xdr:from>
    <xdr:ext cx="23812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29</xdr:col>
      <xdr:colOff>41181</xdr:colOff>
      <xdr:row>14</xdr:row>
      <xdr:rowOff>24845</xdr:rowOff>
    </xdr:from>
    <xdr:ext cx="23812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29</xdr:col>
      <xdr:colOff>38539</xdr:colOff>
      <xdr:row>63</xdr:row>
      <xdr:rowOff>32396</xdr:rowOff>
    </xdr:from>
    <xdr:ext cx="20002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29</xdr:col>
      <xdr:colOff>38539</xdr:colOff>
      <xdr:row>64</xdr:row>
      <xdr:rowOff>32396</xdr:rowOff>
    </xdr:from>
    <xdr:ext cx="20002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29</xdr:col>
      <xdr:colOff>38539</xdr:colOff>
      <xdr:row>65</xdr:row>
      <xdr:rowOff>32396</xdr:rowOff>
    </xdr:from>
    <xdr:ext cx="200025"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29</xdr:col>
      <xdr:colOff>38539</xdr:colOff>
      <xdr:row>66</xdr:row>
      <xdr:rowOff>32396</xdr:rowOff>
    </xdr:from>
    <xdr:ext cx="200025"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29</xdr:col>
      <xdr:colOff>38539</xdr:colOff>
      <xdr:row>67</xdr:row>
      <xdr:rowOff>32396</xdr:rowOff>
    </xdr:from>
    <xdr:ext cx="200025"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41482</xdr:colOff>
      <xdr:row>12</xdr:row>
      <xdr:rowOff>24845</xdr:rowOff>
    </xdr:from>
    <xdr:ext cx="62865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41482</xdr:colOff>
      <xdr:row>13</xdr:row>
      <xdr:rowOff>24845</xdr:rowOff>
    </xdr:from>
    <xdr:ext cx="62865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41482</xdr:colOff>
      <xdr:row>14</xdr:row>
      <xdr:rowOff>24845</xdr:rowOff>
    </xdr:from>
    <xdr:ext cx="62865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39575</xdr:colOff>
      <xdr:row>63</xdr:row>
      <xdr:rowOff>32396</xdr:rowOff>
    </xdr:from>
    <xdr:ext cx="590550"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39575</xdr:colOff>
      <xdr:row>64</xdr:row>
      <xdr:rowOff>32396</xdr:rowOff>
    </xdr:from>
    <xdr:ext cx="590550"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41</xdr:col>
      <xdr:colOff>39575</xdr:colOff>
      <xdr:row>65</xdr:row>
      <xdr:rowOff>32396</xdr:rowOff>
    </xdr:from>
    <xdr:ext cx="590550" cy="2000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41</xdr:col>
      <xdr:colOff>39575</xdr:colOff>
      <xdr:row>66</xdr:row>
      <xdr:rowOff>32396</xdr:rowOff>
    </xdr:from>
    <xdr:ext cx="590550" cy="2000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5</xdr:col>
      <xdr:colOff>48386</xdr:colOff>
      <xdr:row>63</xdr:row>
      <xdr:rowOff>32396</xdr:rowOff>
    </xdr:from>
    <xdr:ext cx="2000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5</xdr:col>
      <xdr:colOff>48386</xdr:colOff>
      <xdr:row>64</xdr:row>
      <xdr:rowOff>32396</xdr:rowOff>
    </xdr:from>
    <xdr:ext cx="2000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5</xdr:col>
      <xdr:colOff>48386</xdr:colOff>
      <xdr:row>65</xdr:row>
      <xdr:rowOff>32396</xdr:rowOff>
    </xdr:from>
    <xdr:ext cx="2000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5</xdr:col>
      <xdr:colOff>48386</xdr:colOff>
      <xdr:row>66</xdr:row>
      <xdr:rowOff>32396</xdr:rowOff>
    </xdr:from>
    <xdr:ext cx="2000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5</xdr:col>
      <xdr:colOff>48386</xdr:colOff>
      <xdr:row>67</xdr:row>
      <xdr:rowOff>32396</xdr:rowOff>
    </xdr:from>
    <xdr:ext cx="2000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5</xdr:col>
      <xdr:colOff>51703</xdr:colOff>
      <xdr:row>12</xdr:row>
      <xdr:rowOff>24845</xdr:rowOff>
    </xdr:from>
    <xdr:ext cx="23812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5</xdr:col>
      <xdr:colOff>51703</xdr:colOff>
      <xdr:row>13</xdr:row>
      <xdr:rowOff>24845</xdr:rowOff>
    </xdr:from>
    <xdr:ext cx="23812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5</xdr:col>
      <xdr:colOff>51703</xdr:colOff>
      <xdr:row>14</xdr:row>
      <xdr:rowOff>24845</xdr:rowOff>
    </xdr:from>
    <xdr:ext cx="23812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5</xdr:col>
      <xdr:colOff>48386</xdr:colOff>
      <xdr:row>63</xdr:row>
      <xdr:rowOff>32396</xdr:rowOff>
    </xdr:from>
    <xdr:ext cx="2000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5</xdr:col>
      <xdr:colOff>48386</xdr:colOff>
      <xdr:row>64</xdr:row>
      <xdr:rowOff>32396</xdr:rowOff>
    </xdr:from>
    <xdr:ext cx="2000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5</xdr:col>
      <xdr:colOff>48386</xdr:colOff>
      <xdr:row>65</xdr:row>
      <xdr:rowOff>32396</xdr:rowOff>
    </xdr:from>
    <xdr:ext cx="2000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5</xdr:col>
      <xdr:colOff>48386</xdr:colOff>
      <xdr:row>66</xdr:row>
      <xdr:rowOff>32396</xdr:rowOff>
    </xdr:from>
    <xdr:ext cx="2000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5</xdr:col>
      <xdr:colOff>48386</xdr:colOff>
      <xdr:row>67</xdr:row>
      <xdr:rowOff>32396</xdr:rowOff>
    </xdr:from>
    <xdr:ext cx="2000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1"/>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1"/>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1"/>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1"/>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1"/>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1"/>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1"/>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1"/>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1"/>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1"/>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1"/>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1"/>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1"/>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1"/>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1"/>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1"/>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1"/>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1"/>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1"/>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1"/>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1"/>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1"/>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1"/>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1"/>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1"/>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1"/>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1"/>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1"/>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1"/>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1"/>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1"/>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1"/>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1"/>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1"/>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1"/>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1"/>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1"/>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1"/>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1"/>
    </row>
    <row r="55" ht="21.9" customHeight="1" spans="1:43" x14ac:dyDescent="0.25">
      <c r="A55" s="62">
        <v>43</v>
      </c>
      <c r="B55" s="77"/>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1"/>
    </row>
    <row r="56" ht="21.9" customHeight="1" spans="1:43" x14ac:dyDescent="0.25">
      <c r="A56" s="62">
        <v>44</v>
      </c>
      <c r="B56" s="77"/>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1"/>
    </row>
    <row r="57" ht="21.9" customHeight="1" spans="1:43" x14ac:dyDescent="0.25">
      <c r="A57" s="62">
        <v>45</v>
      </c>
      <c r="B57" s="77"/>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1"/>
    </row>
    <row r="58" ht="21.9" customHeight="1" spans="1:43" x14ac:dyDescent="0.25">
      <c r="A58" s="62">
        <v>46</v>
      </c>
      <c r="B58" s="77"/>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1"/>
    </row>
    <row r="59" ht="21.9" customHeight="1" spans="1:43" x14ac:dyDescent="0.25">
      <c r="A59" s="62">
        <v>47</v>
      </c>
      <c r="B59" s="77"/>
      <c r="C59" s="78"/>
      <c r="D59" s="78"/>
      <c r="E59" s="78"/>
      <c r="F59" s="78"/>
      <c r="G59" s="79"/>
      <c r="H59" s="80"/>
      <c r="I59" s="80"/>
      <c r="J59" s="80"/>
      <c r="K59" s="81"/>
      <c r="L59" s="82"/>
      <c r="M59" s="80"/>
      <c r="N59" s="80"/>
      <c r="O59" s="80"/>
      <c r="P59" s="83"/>
      <c r="Q59" s="79"/>
      <c r="R59" s="80"/>
      <c r="S59" s="80"/>
      <c r="T59" s="80"/>
      <c r="U59" s="81"/>
      <c r="V59" s="82"/>
      <c r="W59" s="80"/>
      <c r="X59" s="80"/>
      <c r="Y59" s="80"/>
      <c r="Z59" s="83"/>
      <c r="AA59" s="79"/>
      <c r="AB59" s="80"/>
      <c r="AC59" s="80"/>
      <c r="AD59" s="83"/>
      <c r="AE59" s="81"/>
      <c r="AF59" s="72">
        <f t="shared" si="0"/>
      </c>
      <c r="AG59" s="73">
        <f t="shared" si="2"/>
      </c>
      <c r="AH59" s="74"/>
      <c r="AI59" s="75"/>
      <c r="AJ59" s="75"/>
      <c r="AK59" s="75"/>
      <c r="AL59" s="75"/>
      <c r="AM59" s="76"/>
      <c r="AQ59" s="1"/>
    </row>
    <row r="60" ht="21.9" customHeight="1" spans="1:43" x14ac:dyDescent="0.25">
      <c r="A60" s="62">
        <v>48</v>
      </c>
      <c r="B60" s="77"/>
      <c r="C60" s="78"/>
      <c r="D60" s="78"/>
      <c r="E60" s="78"/>
      <c r="F60" s="78"/>
      <c r="G60" s="79"/>
      <c r="H60" s="80"/>
      <c r="I60" s="80"/>
      <c r="J60" s="80"/>
      <c r="K60" s="81"/>
      <c r="L60" s="82"/>
      <c r="M60" s="80"/>
      <c r="N60" s="80"/>
      <c r="O60" s="80"/>
      <c r="P60" s="83"/>
      <c r="Q60" s="79"/>
      <c r="R60" s="80"/>
      <c r="S60" s="80"/>
      <c r="T60" s="80"/>
      <c r="U60" s="81"/>
      <c r="V60" s="82"/>
      <c r="W60" s="80"/>
      <c r="X60" s="80"/>
      <c r="Y60" s="80"/>
      <c r="Z60" s="83"/>
      <c r="AA60" s="79"/>
      <c r="AB60" s="80"/>
      <c r="AC60" s="80"/>
      <c r="AD60" s="83"/>
      <c r="AE60" s="81"/>
      <c r="AF60" s="72">
        <f t="shared" si="0"/>
      </c>
      <c r="AG60" s="73">
        <f t="shared" si="2"/>
      </c>
      <c r="AH60" s="74"/>
      <c r="AI60" s="75"/>
      <c r="AJ60" s="75"/>
      <c r="AK60" s="75"/>
      <c r="AL60" s="75"/>
      <c r="AM60" s="76"/>
      <c r="AQ60" s="1"/>
    </row>
    <row r="61" ht="21.9" customHeight="1" spans="1:43" x14ac:dyDescent="0.25">
      <c r="A61" s="62">
        <v>49</v>
      </c>
      <c r="B61" s="77"/>
      <c r="C61" s="78"/>
      <c r="D61" s="78"/>
      <c r="E61" s="78"/>
      <c r="F61" s="78"/>
      <c r="G61" s="79"/>
      <c r="H61" s="80"/>
      <c r="I61" s="80"/>
      <c r="J61" s="80"/>
      <c r="K61" s="81"/>
      <c r="L61" s="82"/>
      <c r="M61" s="80"/>
      <c r="N61" s="80"/>
      <c r="O61" s="80"/>
      <c r="P61" s="83"/>
      <c r="Q61" s="79"/>
      <c r="R61" s="80"/>
      <c r="S61" s="80"/>
      <c r="T61" s="80"/>
      <c r="U61" s="81"/>
      <c r="V61" s="82"/>
      <c r="W61" s="80"/>
      <c r="X61" s="80"/>
      <c r="Y61" s="80"/>
      <c r="Z61" s="83"/>
      <c r="AA61" s="79"/>
      <c r="AB61" s="80"/>
      <c r="AC61" s="80"/>
      <c r="AD61" s="83"/>
      <c r="AE61" s="81"/>
      <c r="AF61" s="72">
        <f t="shared" si="0"/>
      </c>
      <c r="AG61" s="73">
        <f t="shared" si="2"/>
      </c>
      <c r="AH61" s="74"/>
      <c r="AI61" s="75"/>
      <c r="AJ61" s="75"/>
      <c r="AK61" s="75"/>
      <c r="AL61" s="75"/>
      <c r="AM61" s="76"/>
      <c r="AQ61" s="1"/>
    </row>
    <row r="62" ht="21.9" customHeight="1" spans="1:43" x14ac:dyDescent="0.25">
      <c r="A62" s="79">
        <v>50</v>
      </c>
      <c r="B62" s="84"/>
      <c r="C62" s="78"/>
      <c r="D62" s="78"/>
      <c r="E62" s="78"/>
      <c r="F62" s="78"/>
      <c r="G62" s="79"/>
      <c r="H62" s="80"/>
      <c r="I62" s="80"/>
      <c r="J62" s="80"/>
      <c r="K62" s="81"/>
      <c r="L62" s="82"/>
      <c r="M62" s="80"/>
      <c r="N62" s="80"/>
      <c r="O62" s="80"/>
      <c r="P62" s="83"/>
      <c r="Q62" s="79"/>
      <c r="R62" s="80"/>
      <c r="S62" s="80"/>
      <c r="T62" s="80"/>
      <c r="U62" s="81"/>
      <c r="V62" s="82"/>
      <c r="W62" s="80"/>
      <c r="X62" s="80"/>
      <c r="Y62" s="80"/>
      <c r="Z62" s="83"/>
      <c r="AA62" s="79"/>
      <c r="AB62" s="80"/>
      <c r="AC62" s="80"/>
      <c r="AD62" s="83"/>
      <c r="AE62" s="81"/>
      <c r="AF62" s="72">
        <f t="shared" si="0"/>
      </c>
      <c r="AG62" s="73">
        <f t="shared" si="2"/>
      </c>
      <c r="AH62" s="74"/>
      <c r="AI62" s="75"/>
      <c r="AJ62" s="85"/>
      <c r="AK62" s="85"/>
      <c r="AL62" s="85"/>
      <c r="AM62" s="86"/>
      <c r="AQ62" s="1"/>
    </row>
    <row r="63" ht="21.9" customHeight="1" spans="1:43" x14ac:dyDescent="0.25">
      <c r="A63" s="87"/>
      <c r="B63" s="88" t="s">
        <v>36</v>
      </c>
      <c r="C63" s="88"/>
      <c r="D63" s="88"/>
      <c r="E63" s="88"/>
      <c r="F63" s="88"/>
      <c r="G63" s="89">
        <f t="shared" ref="G63:AE63" si="3">IF(G10="","",COUNTA($B$13:$B$62)-(COUNTIF(G13:G62,"x")*1+COUNTIF(G13:G62,"h")*0.5))</f>
        <v>0</v>
      </c>
      <c r="H63" s="90">
        <f t="shared" si="3"/>
        <v>0</v>
      </c>
      <c r="I63" s="90">
        <f t="shared" si="3"/>
        <v>0</v>
      </c>
      <c r="J63" s="90">
        <f t="shared" si="3"/>
        <v>0</v>
      </c>
      <c r="K63" s="91">
        <f t="shared" si="3"/>
        <v>0</v>
      </c>
      <c r="L63" s="89">
        <f t="shared" si="3"/>
        <v>0</v>
      </c>
      <c r="M63" s="90">
        <f t="shared" si="3"/>
        <v>0</v>
      </c>
      <c r="N63" s="90">
        <f t="shared" si="3"/>
        <v>0</v>
      </c>
      <c r="O63" s="90">
        <f t="shared" si="3"/>
        <v>0</v>
      </c>
      <c r="P63" s="91">
        <f t="shared" si="3"/>
        <v>0</v>
      </c>
      <c r="Q63" s="89">
        <f t="shared" si="3"/>
        <v>0</v>
      </c>
      <c r="R63" s="90">
        <f t="shared" si="3"/>
        <v>0</v>
      </c>
      <c r="S63" s="90">
        <f t="shared" si="3"/>
        <v>0</v>
      </c>
      <c r="T63" s="90">
        <f t="shared" si="3"/>
        <v>0</v>
      </c>
      <c r="U63" s="91">
        <f t="shared" si="3"/>
        <v>0</v>
      </c>
      <c r="V63" s="89">
        <f t="shared" si="3"/>
        <v>0</v>
      </c>
      <c r="W63" s="90">
        <f t="shared" si="3"/>
        <v>0</v>
      </c>
      <c r="X63" s="90">
        <f t="shared" si="3"/>
        <v>0</v>
      </c>
      <c r="Y63" s="90">
        <f t="shared" si="3"/>
        <v>0</v>
      </c>
      <c r="Z63" s="91">
        <f t="shared" si="3"/>
        <v>0</v>
      </c>
      <c r="AA63" s="89">
        <f t="shared" si="3"/>
        <v>0</v>
      </c>
      <c r="AB63" s="90">
        <f t="shared" si="3"/>
        <v>0</v>
      </c>
      <c r="AC63" s="90">
        <f t="shared" si="3"/>
      </c>
      <c r="AD63" s="90">
        <f t="shared" si="3"/>
      </c>
      <c r="AE63" s="91">
        <f t="shared" si="3"/>
      </c>
      <c r="AF63" s="92">
        <f>SUM(AF13:AF62)</f>
        <v>0</v>
      </c>
      <c r="AG63" s="93">
        <f>SUM(AG13:AG62)</f>
        <v>0</v>
      </c>
      <c r="AH63" s="94"/>
      <c r="AI63" s="95"/>
      <c r="AJ63" s="95"/>
      <c r="AK63" s="95"/>
      <c r="AL63" s="95"/>
      <c r="AM63" s="96"/>
      <c r="AQ63" s="1"/>
    </row>
    <row r="64" ht="21.9" customHeight="1" spans="1:43" x14ac:dyDescent="0.25">
      <c r="A64" s="62">
        <v>1</v>
      </c>
      <c r="B64" s="63" t="s">
        <v>37</v>
      </c>
      <c r="C64" s="97"/>
      <c r="D64" s="97"/>
      <c r="E64" s="97"/>
      <c r="F64" s="97"/>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6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6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6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6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6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1"/>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1"/>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1"/>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1"/>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1"/>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1"/>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1"/>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1"/>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1"/>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1"/>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1"/>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1"/>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1"/>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1"/>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1"/>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1"/>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1"/>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1"/>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1"/>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1"/>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1"/>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1"/>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1"/>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1"/>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1"/>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1"/>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1"/>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1"/>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1"/>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1"/>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1"/>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1"/>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1"/>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1"/>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1"/>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1"/>
    </row>
    <row r="105" ht="21.9" customHeight="1" spans="1:43" x14ac:dyDescent="0.25">
      <c r="A105" s="62">
        <v>42</v>
      </c>
      <c r="B105" s="77"/>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1"/>
    </row>
    <row r="106" ht="21.9" customHeight="1" spans="1:43" x14ac:dyDescent="0.25">
      <c r="A106" s="62">
        <v>43</v>
      </c>
      <c r="B106" s="77"/>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1"/>
    </row>
    <row r="107" ht="21.9" customHeight="1" spans="1:43" x14ac:dyDescent="0.25">
      <c r="A107" s="62">
        <v>44</v>
      </c>
      <c r="B107" s="77"/>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1"/>
    </row>
    <row r="108" ht="21.9" customHeight="1" spans="1:43" x14ac:dyDescent="0.25">
      <c r="A108" s="62">
        <v>45</v>
      </c>
      <c r="B108" s="77"/>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1"/>
    </row>
    <row r="109" ht="21.9" customHeight="1" spans="1:43" x14ac:dyDescent="0.25">
      <c r="A109" s="62">
        <v>46</v>
      </c>
      <c r="B109" s="77"/>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1"/>
    </row>
    <row r="110" ht="21.9" customHeight="1" spans="1:43" x14ac:dyDescent="0.25">
      <c r="A110" s="62">
        <v>47</v>
      </c>
      <c r="B110" s="77"/>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1"/>
    </row>
    <row r="111" ht="21.9" customHeight="1" spans="1:43" x14ac:dyDescent="0.25">
      <c r="A111" s="62">
        <v>48</v>
      </c>
      <c r="B111" s="77"/>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1"/>
    </row>
    <row r="112" ht="21.9" customHeight="1" spans="1:43" x14ac:dyDescent="0.25">
      <c r="A112" s="62">
        <v>49</v>
      </c>
      <c r="B112" s="77"/>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1"/>
    </row>
    <row r="113" ht="21.9" customHeight="1" spans="1:43" x14ac:dyDescent="0.25">
      <c r="A113" s="79">
        <v>50</v>
      </c>
      <c r="B113" s="84"/>
      <c r="C113" s="78"/>
      <c r="D113" s="78"/>
      <c r="E113" s="78"/>
      <c r="F113" s="78"/>
      <c r="G113" s="79"/>
      <c r="H113" s="80"/>
      <c r="I113" s="80"/>
      <c r="J113" s="80"/>
      <c r="K113" s="81"/>
      <c r="L113" s="82"/>
      <c r="M113" s="80"/>
      <c r="N113" s="80"/>
      <c r="O113" s="80"/>
      <c r="P113" s="83"/>
      <c r="Q113" s="79"/>
      <c r="R113" s="80"/>
      <c r="S113" s="80"/>
      <c r="T113" s="80"/>
      <c r="U113" s="81"/>
      <c r="V113" s="82"/>
      <c r="W113" s="80"/>
      <c r="X113" s="80"/>
      <c r="Y113" s="80"/>
      <c r="Z113" s="83"/>
      <c r="AA113" s="79"/>
      <c r="AB113" s="80"/>
      <c r="AC113" s="80"/>
      <c r="AD113" s="83"/>
      <c r="AE113" s="81"/>
      <c r="AF113" s="98">
        <f t="shared" si="4"/>
      </c>
      <c r="AG113" s="99">
        <f t="shared" si="5"/>
      </c>
      <c r="AH113" s="100"/>
      <c r="AI113" s="85"/>
      <c r="AJ113" s="85"/>
      <c r="AK113" s="85"/>
      <c r="AL113" s="85"/>
      <c r="AM113" s="86"/>
      <c r="AQ113" s="1"/>
    </row>
    <row r="114" ht="21.9" customHeight="1" spans="1:43" x14ac:dyDescent="0.25">
      <c r="A114" s="101" t="s">
        <v>42</v>
      </c>
      <c r="B114" s="88"/>
      <c r="C114" s="88"/>
      <c r="D114" s="88"/>
      <c r="E114" s="88"/>
      <c r="F114" s="88"/>
      <c r="G114" s="102">
        <f t="shared" ref="G114:AE114" si="6">IF(G10="","",COUNTA($B$64:$B$113)-(COUNTIF(G64:G113,"x")+COUNTIF(G64:G113,"h")*0.5))</f>
        <v>0</v>
      </c>
      <c r="H114" s="90">
        <f t="shared" si="6"/>
        <v>0</v>
      </c>
      <c r="I114" s="90">
        <f t="shared" si="6"/>
        <v>0</v>
      </c>
      <c r="J114" s="90">
        <f t="shared" si="6"/>
        <v>0</v>
      </c>
      <c r="K114" s="91">
        <f t="shared" si="6"/>
        <v>0</v>
      </c>
      <c r="L114" s="102">
        <f t="shared" si="6"/>
        <v>0</v>
      </c>
      <c r="M114" s="90">
        <f t="shared" si="6"/>
        <v>0</v>
      </c>
      <c r="N114" s="90">
        <f t="shared" si="6"/>
        <v>0</v>
      </c>
      <c r="O114" s="90">
        <f t="shared" si="6"/>
        <v>0</v>
      </c>
      <c r="P114" s="91">
        <f t="shared" si="6"/>
        <v>0</v>
      </c>
      <c r="Q114" s="102">
        <f t="shared" si="6"/>
        <v>0</v>
      </c>
      <c r="R114" s="90">
        <f t="shared" si="6"/>
        <v>0</v>
      </c>
      <c r="S114" s="90">
        <f t="shared" si="6"/>
        <v>0</v>
      </c>
      <c r="T114" s="90">
        <f t="shared" si="6"/>
        <v>0</v>
      </c>
      <c r="U114" s="91">
        <f t="shared" si="6"/>
        <v>0</v>
      </c>
      <c r="V114" s="102">
        <f t="shared" si="6"/>
        <v>0</v>
      </c>
      <c r="W114" s="90">
        <f t="shared" si="6"/>
        <v>0</v>
      </c>
      <c r="X114" s="90">
        <f t="shared" si="6"/>
        <v>0</v>
      </c>
      <c r="Y114" s="90">
        <f t="shared" si="6"/>
        <v>0</v>
      </c>
      <c r="Z114" s="91">
        <f t="shared" si="6"/>
        <v>0</v>
      </c>
      <c r="AA114" s="102">
        <f t="shared" si="6"/>
        <v>0</v>
      </c>
      <c r="AB114" s="90">
        <f t="shared" si="6"/>
        <v>0</v>
      </c>
      <c r="AC114" s="90">
        <f t="shared" si="6"/>
      </c>
      <c r="AD114" s="90">
        <f t="shared" si="6"/>
      </c>
      <c r="AE114" s="91">
        <f t="shared" si="6"/>
      </c>
      <c r="AF114" s="92">
        <f>SUM(AF64:AF113)</f>
        <v>0</v>
      </c>
      <c r="AG114" s="93">
        <f>SUM(AG64:AG113)</f>
        <v>0</v>
      </c>
      <c r="AH114" s="103"/>
      <c r="AI114" s="104"/>
      <c r="AJ114" s="104"/>
      <c r="AK114" s="104"/>
      <c r="AL114" s="104"/>
      <c r="AM114" s="105"/>
      <c r="AQ114" s="1"/>
    </row>
    <row r="115" ht="21.9" customHeight="1" spans="1:43" x14ac:dyDescent="0.25">
      <c r="A115" s="106" t="s">
        <v>43</v>
      </c>
      <c r="B115" s="106"/>
      <c r="C115" s="107"/>
      <c r="D115" s="107"/>
      <c r="E115" s="107"/>
      <c r="F115" s="107"/>
      <c r="G115" s="108">
        <f t="shared" ref="G115:AE115" si="7">IF(G10="","",G63+G114)</f>
        <v>0</v>
      </c>
      <c r="H115" s="109">
        <f t="shared" si="7"/>
        <v>0</v>
      </c>
      <c r="I115" s="109">
        <f t="shared" si="7"/>
        <v>0</v>
      </c>
      <c r="J115" s="109">
        <f t="shared" si="7"/>
        <v>0</v>
      </c>
      <c r="K115" s="110">
        <f t="shared" si="7"/>
        <v>0</v>
      </c>
      <c r="L115" s="108">
        <f t="shared" si="7"/>
        <v>0</v>
      </c>
      <c r="M115" s="109">
        <f t="shared" si="7"/>
        <v>0</v>
      </c>
      <c r="N115" s="109">
        <f t="shared" si="7"/>
        <v>0</v>
      </c>
      <c r="O115" s="109">
        <f t="shared" si="7"/>
        <v>0</v>
      </c>
      <c r="P115" s="110">
        <f t="shared" si="7"/>
        <v>0</v>
      </c>
      <c r="Q115" s="108">
        <f t="shared" si="7"/>
        <v>0</v>
      </c>
      <c r="R115" s="109">
        <f t="shared" si="7"/>
        <v>0</v>
      </c>
      <c r="S115" s="109">
        <f t="shared" si="7"/>
        <v>0</v>
      </c>
      <c r="T115" s="109">
        <f t="shared" si="7"/>
        <v>0</v>
      </c>
      <c r="U115" s="110">
        <f t="shared" si="7"/>
        <v>0</v>
      </c>
      <c r="V115" s="108">
        <f t="shared" si="7"/>
        <v>0</v>
      </c>
      <c r="W115" s="109">
        <f t="shared" si="7"/>
        <v>0</v>
      </c>
      <c r="X115" s="109">
        <f t="shared" si="7"/>
        <v>0</v>
      </c>
      <c r="Y115" s="109">
        <f t="shared" si="7"/>
        <v>0</v>
      </c>
      <c r="Z115" s="110">
        <f t="shared" si="7"/>
        <v>0</v>
      </c>
      <c r="AA115" s="108">
        <f t="shared" si="7"/>
        <v>0</v>
      </c>
      <c r="AB115" s="109">
        <f t="shared" si="7"/>
        <v>0</v>
      </c>
      <c r="AC115" s="109">
        <f t="shared" si="7"/>
      </c>
      <c r="AD115" s="109">
        <f t="shared" si="7"/>
      </c>
      <c r="AE115" s="110">
        <f t="shared" si="7"/>
      </c>
      <c r="AF115" s="111">
        <f>AF63+AF114</f>
        <v>0</v>
      </c>
      <c r="AG115" s="112">
        <f>AG63+AG114</f>
        <v>0</v>
      </c>
      <c r="AH115" s="113"/>
      <c r="AI115" s="114"/>
      <c r="AJ115" s="114"/>
      <c r="AK115" s="114"/>
      <c r="AL115" s="114"/>
      <c r="AM115" s="115"/>
      <c r="AQ115" s="1"/>
    </row>
    <row r="116" ht="6.75" customHeight="1" spans="1:43" x14ac:dyDescent="0.25">
      <c r="A116" s="116"/>
      <c r="B116" s="116"/>
      <c r="C116" s="116"/>
      <c r="D116" s="116"/>
      <c r="E116" s="116"/>
      <c r="F116" s="116"/>
      <c r="G116" s="117"/>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18" t="s">
        <v>44</v>
      </c>
      <c r="B117" s="119"/>
      <c r="C117" s="119"/>
      <c r="D117" s="119"/>
      <c r="E117" s="119"/>
      <c r="F117" s="119"/>
      <c r="G117" s="120"/>
      <c r="H117" s="120"/>
      <c r="I117" s="120"/>
      <c r="J117" s="120"/>
      <c r="K117" s="120"/>
      <c r="L117" s="120"/>
      <c r="M117" s="120"/>
      <c r="N117" s="120"/>
      <c r="O117" s="120"/>
      <c r="P117" s="120"/>
      <c r="Q117" s="120"/>
      <c r="R117" s="120"/>
      <c r="S117" s="121"/>
      <c r="T117" s="122" t="s">
        <v>45</v>
      </c>
      <c r="U117" s="123"/>
      <c r="V117" s="123"/>
      <c r="W117" s="123"/>
      <c r="X117" s="123"/>
      <c r="Y117" s="124"/>
      <c r="Z117" s="124"/>
      <c r="AA117" s="124"/>
      <c r="AB117" s="125"/>
      <c r="AC117" s="126"/>
      <c r="AE117" s="127" t="s">
        <v>46</v>
      </c>
      <c r="AF117" s="128"/>
      <c r="AG117" s="129">
        <f>AA6</f>
        <v>NaN</v>
      </c>
      <c r="AH117" s="130" t="s">
        <v>47</v>
      </c>
      <c r="AI117" s="131"/>
      <c r="AJ117" s="132">
        <f>AQ9</f>
        <v>22</v>
      </c>
      <c r="AK117" s="133" t="s">
        <v>48</v>
      </c>
      <c r="AL117" s="133"/>
      <c r="AM117" s="134"/>
      <c r="AQ117" s="1"/>
    </row>
    <row r="118" ht="15" customHeight="1" spans="1:43" x14ac:dyDescent="0.25">
      <c r="A118" s="135" t="s">
        <v>49</v>
      </c>
      <c r="B118" s="135"/>
      <c r="C118" s="135"/>
      <c r="D118" s="135"/>
      <c r="E118" s="135"/>
      <c r="F118" s="135"/>
      <c r="G118" s="1"/>
      <c r="H118" s="1"/>
      <c r="I118" s="1"/>
      <c r="J118" s="1"/>
      <c r="K118" s="1"/>
      <c r="L118" s="1"/>
      <c r="M118" s="1"/>
      <c r="N118" s="1"/>
      <c r="O118" s="1"/>
      <c r="P118" s="1"/>
      <c r="Q118" s="1"/>
      <c r="R118" s="120"/>
      <c r="S118" s="121"/>
      <c r="T118" s="136" t="s">
        <v>50</v>
      </c>
      <c r="U118" s="1"/>
      <c r="V118" s="1"/>
      <c r="W118" s="1"/>
      <c r="X118" s="1"/>
      <c r="Y118" s="1"/>
      <c r="Z118" s="1"/>
      <c r="AA118" s="1"/>
      <c r="AB118" s="1"/>
      <c r="AC118" s="138"/>
      <c r="AE118" s="139"/>
      <c r="AF118" s="140"/>
      <c r="AG118" s="141"/>
      <c r="AH118" s="142"/>
      <c r="AI118" s="143"/>
      <c r="AJ118" s="144"/>
      <c r="AK118" s="145" t="s">
        <v>16</v>
      </c>
      <c r="AL118" s="146" t="s">
        <v>20</v>
      </c>
      <c r="AM118" s="147" t="s">
        <v>51</v>
      </c>
      <c r="AQ118" s="1"/>
    </row>
    <row r="119" ht="15.5" customHeight="1" spans="1:43" x14ac:dyDescent="0.25">
      <c r="A119" s="135" t="s">
        <v>52</v>
      </c>
      <c r="B119" s="135"/>
      <c r="C119" s="135"/>
      <c r="D119" s="135"/>
      <c r="E119" s="135"/>
      <c r="F119" s="135"/>
      <c r="G119" s="1"/>
      <c r="H119" s="1"/>
      <c r="I119" s="1"/>
      <c r="J119" s="1"/>
      <c r="K119" s="1"/>
      <c r="L119" s="1"/>
      <c r="M119" s="1"/>
      <c r="N119" s="1"/>
      <c r="O119" s="1"/>
      <c r="P119" s="1"/>
      <c r="Q119" s="1"/>
      <c r="R119" s="120"/>
      <c r="S119" s="121"/>
      <c r="T119" s="1"/>
      <c r="U119" s="1"/>
      <c r="V119" s="1"/>
      <c r="W119" s="1"/>
      <c r="X119" s="1"/>
      <c r="Y119" s="1"/>
      <c r="Z119" s="1"/>
      <c r="AA119" s="1"/>
      <c r="AB119" s="1"/>
      <c r="AC119" s="138"/>
      <c r="AE119" s="149" t="s">
        <v>53</v>
      </c>
      <c r="AF119" s="150"/>
      <c r="AG119" s="150"/>
      <c r="AH119" s="150"/>
      <c r="AI119" s="150"/>
      <c r="AJ119" s="151"/>
      <c r="AK119" s="152"/>
      <c r="AL119" s="152"/>
      <c r="AM119" s="153">
        <f>AK119+AL119</f>
        <v>0</v>
      </c>
      <c r="AQ119" s="1"/>
    </row>
    <row r="120" ht="15.75" customHeight="1" spans="1:43" x14ac:dyDescent="0.25">
      <c r="A120" s="135" t="s">
        <v>54</v>
      </c>
      <c r="B120" s="135"/>
      <c r="C120" s="135"/>
      <c r="D120" s="135"/>
      <c r="E120" s="135"/>
      <c r="F120" s="135"/>
      <c r="G120" s="1"/>
      <c r="H120" s="1"/>
      <c r="I120" s="1"/>
      <c r="J120" s="1"/>
      <c r="K120" s="1"/>
      <c r="L120" s="1"/>
      <c r="M120" s="1"/>
      <c r="N120" s="1"/>
      <c r="O120" s="1"/>
      <c r="P120" s="1"/>
      <c r="Q120" s="1"/>
      <c r="R120" s="120"/>
      <c r="S120" s="121"/>
      <c r="T120" s="1"/>
      <c r="U120" s="1"/>
      <c r="V120" s="1"/>
      <c r="W120" s="1"/>
      <c r="X120" s="1"/>
      <c r="Y120" s="1"/>
      <c r="Z120" s="1"/>
      <c r="AA120" s="1"/>
      <c r="AB120" s="1"/>
      <c r="AC120" s="138"/>
      <c r="AE120" s="154"/>
      <c r="AF120" s="155"/>
      <c r="AG120" s="155"/>
      <c r="AH120" s="155"/>
      <c r="AI120" s="155"/>
      <c r="AJ120" s="156"/>
      <c r="AK120" s="31"/>
      <c r="AL120" s="31"/>
      <c r="AM120" s="157"/>
      <c r="AQ120" s="1"/>
    </row>
    <row r="121" ht="15.75" customHeight="1" spans="1:43" x14ac:dyDescent="0.25">
      <c r="A121" s="158" t="s">
        <v>55</v>
      </c>
      <c r="B121" s="159" t="s">
        <v>56</v>
      </c>
      <c r="C121" s="159"/>
      <c r="D121" s="159"/>
      <c r="E121" s="159"/>
      <c r="F121" s="159"/>
      <c r="G121" s="160" t="s">
        <v>57</v>
      </c>
      <c r="H121" s="1"/>
      <c r="I121" s="1"/>
      <c r="J121" s="1"/>
      <c r="K121" s="1"/>
      <c r="L121" s="1"/>
      <c r="M121" s="1"/>
      <c r="N121" s="1"/>
      <c r="O121" s="1"/>
      <c r="P121" s="1"/>
      <c r="Q121" s="161" t="s">
        <v>58</v>
      </c>
      <c r="R121" s="1"/>
      <c r="S121" s="121"/>
      <c r="T121" s="162" t="s">
        <v>59</v>
      </c>
      <c r="U121" s="1"/>
      <c r="V121" s="1"/>
      <c r="W121" s="1"/>
      <c r="X121" s="1"/>
      <c r="Y121" s="3"/>
      <c r="Z121" s="1"/>
      <c r="AA121" s="1"/>
      <c r="AB121" s="163"/>
      <c r="AC121" s="138"/>
      <c r="AE121" s="164" t="s">
        <v>60</v>
      </c>
      <c r="AF121" s="165"/>
      <c r="AG121" s="165"/>
      <c r="AH121" s="165"/>
      <c r="AI121" s="165"/>
      <c r="AJ121" s="165"/>
      <c r="AK121" s="166">
        <v>0</v>
      </c>
      <c r="AL121" s="166">
        <v>0</v>
      </c>
      <c r="AM121" s="167">
        <f>AK121+AL121</f>
        <v>0</v>
      </c>
      <c r="AQ121" s="1"/>
    </row>
    <row r="122" ht="15.75" customHeight="1" spans="1:43" x14ac:dyDescent="0.25">
      <c r="A122" s="158"/>
      <c r="B122" s="159"/>
      <c r="C122" s="159"/>
      <c r="D122" s="159"/>
      <c r="E122" s="159"/>
      <c r="F122" s="159"/>
      <c r="G122" s="168" t="s">
        <v>61</v>
      </c>
      <c r="H122" s="1"/>
      <c r="I122" s="1"/>
      <c r="J122" s="1"/>
      <c r="K122" s="1"/>
      <c r="L122" s="1"/>
      <c r="M122" s="1"/>
      <c r="N122" s="1"/>
      <c r="O122" s="1"/>
      <c r="P122" s="1"/>
      <c r="Q122" s="1"/>
      <c r="R122" s="1"/>
      <c r="S122" s="121"/>
      <c r="T122" s="162" t="s">
        <v>62</v>
      </c>
      <c r="U122" s="3"/>
      <c r="V122" s="3"/>
      <c r="W122" s="3"/>
      <c r="X122" s="3"/>
      <c r="Y122" s="3"/>
      <c r="Z122" s="1"/>
      <c r="AA122" s="1"/>
      <c r="AB122" s="163"/>
      <c r="AC122" s="138"/>
      <c r="AE122" s="164"/>
      <c r="AF122" s="165"/>
      <c r="AG122" s="165"/>
      <c r="AH122" s="165"/>
      <c r="AI122" s="165"/>
      <c r="AJ122" s="165"/>
      <c r="AK122" s="166"/>
      <c r="AL122" s="166"/>
      <c r="AM122" s="167"/>
      <c r="AQ122" s="1"/>
    </row>
    <row r="123" ht="18" customHeight="1" spans="1:43" x14ac:dyDescent="0.25">
      <c r="A123" s="158" t="s">
        <v>63</v>
      </c>
      <c r="B123" s="169" t="s">
        <v>64</v>
      </c>
      <c r="C123" s="169"/>
      <c r="D123" s="169"/>
      <c r="E123" s="169"/>
      <c r="F123" s="169"/>
      <c r="G123" s="170" t="s">
        <v>65</v>
      </c>
      <c r="H123" s="1"/>
      <c r="I123" s="1"/>
      <c r="J123" s="1"/>
      <c r="K123" s="1"/>
      <c r="L123" s="1"/>
      <c r="M123" s="1"/>
      <c r="N123" s="1"/>
      <c r="O123" s="1"/>
      <c r="P123" s="1"/>
      <c r="Q123" s="171"/>
      <c r="R123" s="120"/>
      <c r="S123" s="121"/>
      <c r="T123" s="172" t="s">
        <v>66</v>
      </c>
      <c r="U123" s="3"/>
      <c r="V123" s="3"/>
      <c r="W123" s="3"/>
      <c r="X123" s="3"/>
      <c r="Y123" s="3"/>
      <c r="Z123" s="1"/>
      <c r="AA123" s="1"/>
      <c r="AB123" s="163"/>
      <c r="AC123" s="138"/>
      <c r="AE123" s="164" t="s">
        <v>67</v>
      </c>
      <c r="AF123" s="165"/>
      <c r="AG123" s="165"/>
      <c r="AH123" s="165"/>
      <c r="AI123" s="165"/>
      <c r="AJ123" s="165"/>
      <c r="AK123" s="173">
        <f>COUNTA($B$13:$B$62)</f>
        <v>0</v>
      </c>
      <c r="AL123" s="173">
        <f>COUNTA($B$64:$B$113)</f>
        <v>0</v>
      </c>
      <c r="AM123" s="153">
        <f>AK123+AL123</f>
        <v>0</v>
      </c>
      <c r="AQ123" s="1"/>
    </row>
    <row r="124" ht="14.25" customHeight="1" spans="1:43" x14ac:dyDescent="0.25">
      <c r="A124" s="158"/>
      <c r="B124" s="169"/>
      <c r="C124" s="169"/>
      <c r="D124" s="169"/>
      <c r="E124" s="169"/>
      <c r="F124" s="169"/>
      <c r="G124" s="168" t="s">
        <v>68</v>
      </c>
      <c r="H124" s="1"/>
      <c r="I124" s="1"/>
      <c r="J124" s="1"/>
      <c r="K124" s="1"/>
      <c r="L124" s="1"/>
      <c r="M124" s="1"/>
      <c r="N124" s="1"/>
      <c r="O124" s="1"/>
      <c r="P124" s="1"/>
      <c r="Q124" s="120"/>
      <c r="R124" s="120"/>
      <c r="S124" s="121"/>
      <c r="T124" s="172" t="s">
        <v>69</v>
      </c>
      <c r="U124" s="1"/>
      <c r="V124" s="1"/>
      <c r="W124" s="1"/>
      <c r="X124" s="1"/>
      <c r="Y124" s="3"/>
      <c r="Z124" s="1"/>
      <c r="AA124" s="1"/>
      <c r="AB124" s="163"/>
      <c r="AC124" s="138"/>
      <c r="AE124" s="164"/>
      <c r="AF124" s="165"/>
      <c r="AG124" s="165"/>
      <c r="AH124" s="165"/>
      <c r="AI124" s="165"/>
      <c r="AJ124" s="165"/>
      <c r="AK124" s="174"/>
      <c r="AL124" s="174"/>
      <c r="AM124" s="157"/>
      <c r="AQ124" s="1"/>
    </row>
    <row r="125" ht="15.75" customHeight="1" spans="1:43" x14ac:dyDescent="0.25">
      <c r="A125" s="175" t="s">
        <v>70</v>
      </c>
      <c r="B125" s="159" t="s">
        <v>71</v>
      </c>
      <c r="C125" s="159"/>
      <c r="D125" s="159"/>
      <c r="E125" s="159"/>
      <c r="F125" s="159"/>
      <c r="G125" s="160" t="s">
        <v>72</v>
      </c>
      <c r="H125" s="1"/>
      <c r="I125" s="1"/>
      <c r="J125" s="1"/>
      <c r="K125" s="1"/>
      <c r="L125" s="1"/>
      <c r="M125" s="1"/>
      <c r="N125" s="1"/>
      <c r="O125" s="1"/>
      <c r="P125" s="1"/>
      <c r="Q125" s="161" t="s">
        <v>58</v>
      </c>
      <c r="R125" s="1"/>
      <c r="S125" s="121"/>
      <c r="T125" s="172" t="s">
        <v>73</v>
      </c>
      <c r="U125" s="1"/>
      <c r="V125" s="1"/>
      <c r="W125" s="1"/>
      <c r="X125" s="1"/>
      <c r="Y125" s="1"/>
      <c r="Z125" s="1"/>
      <c r="AA125" s="1"/>
      <c r="AB125" s="163"/>
      <c r="AC125" s="138"/>
      <c r="AE125" s="176" t="s">
        <v>74</v>
      </c>
      <c r="AF125" s="177"/>
      <c r="AG125" s="177"/>
      <c r="AH125" s="177"/>
      <c r="AI125" s="177"/>
      <c r="AJ125" s="177"/>
      <c r="AK125" s="178" t="e">
        <f>AK123/AK119</f>
        <v>#DIV/0!</v>
      </c>
      <c r="AL125" s="178" t="e">
        <f>AL123/AL119</f>
        <v>#DIV/0!</v>
      </c>
      <c r="AM125" s="179" t="e">
        <f>AM123/AM119</f>
        <v>#DIV/0!</v>
      </c>
      <c r="AQ125" s="1"/>
    </row>
    <row r="126" ht="19.5" customHeight="1" spans="1:43" x14ac:dyDescent="0.25">
      <c r="A126" s="175"/>
      <c r="B126" s="159"/>
      <c r="C126" s="159"/>
      <c r="D126" s="159"/>
      <c r="E126" s="159"/>
      <c r="F126" s="159"/>
      <c r="G126" s="161" t="s">
        <v>75</v>
      </c>
      <c r="H126" s="1"/>
      <c r="I126" s="1"/>
      <c r="J126" s="1"/>
      <c r="K126" s="1"/>
      <c r="L126" s="1"/>
      <c r="M126" s="1"/>
      <c r="N126" s="1"/>
      <c r="O126" s="1"/>
      <c r="P126" s="1"/>
      <c r="Q126" s="1"/>
      <c r="R126" s="1"/>
      <c r="S126" s="121"/>
      <c r="T126" s="172" t="s">
        <v>76</v>
      </c>
      <c r="U126" s="1"/>
      <c r="V126" s="1"/>
      <c r="W126" s="1"/>
      <c r="X126" s="1"/>
      <c r="Y126" s="1"/>
      <c r="Z126" s="1"/>
      <c r="AA126" s="1"/>
      <c r="AB126" s="163"/>
      <c r="AC126" s="138"/>
      <c r="AE126" s="176"/>
      <c r="AF126" s="177"/>
      <c r="AG126" s="177"/>
      <c r="AH126" s="177"/>
      <c r="AI126" s="177"/>
      <c r="AJ126" s="177"/>
      <c r="AK126" s="180"/>
      <c r="AL126" s="180"/>
      <c r="AM126" s="181"/>
      <c r="AQ126" s="1"/>
    </row>
    <row r="127" ht="26.25" customHeight="1" spans="1:43" x14ac:dyDescent="0.25">
      <c r="A127" s="135"/>
      <c r="B127" s="135"/>
      <c r="C127" s="135"/>
      <c r="D127" s="135"/>
      <c r="E127" s="135"/>
      <c r="F127" s="135"/>
      <c r="G127" s="1"/>
      <c r="H127" s="1"/>
      <c r="I127" s="1"/>
      <c r="J127" s="1"/>
      <c r="K127" s="1"/>
      <c r="L127" s="1"/>
      <c r="M127" s="1"/>
      <c r="N127" s="1"/>
      <c r="O127" s="1"/>
      <c r="P127" s="161"/>
      <c r="Q127" s="161"/>
      <c r="R127" s="120"/>
      <c r="S127" s="121"/>
      <c r="T127" s="162" t="s">
        <v>77</v>
      </c>
      <c r="U127" s="1"/>
      <c r="V127" s="1"/>
      <c r="W127" s="1"/>
      <c r="X127" s="1"/>
      <c r="Y127" s="1"/>
      <c r="Z127" s="1"/>
      <c r="AA127" s="1"/>
      <c r="AB127" s="3"/>
      <c r="AC127" s="138"/>
      <c r="AE127" s="182" t="s">
        <v>78</v>
      </c>
      <c r="AF127" s="183"/>
      <c r="AG127" s="183"/>
      <c r="AH127" s="183"/>
      <c r="AI127" s="183"/>
      <c r="AJ127" s="183"/>
      <c r="AK127" s="184">
        <f>AG63/AJ117</f>
        <v>0</v>
      </c>
      <c r="AL127" s="184">
        <f>AG114/AJ117</f>
        <v>0</v>
      </c>
      <c r="AM127" s="185">
        <f>AG115/AJ117</f>
        <v>0</v>
      </c>
      <c r="AQ127" s="1"/>
    </row>
    <row r="128" ht="16.5" customHeight="1" spans="1:43" x14ac:dyDescent="0.25">
      <c r="A128" s="186" t="s">
        <v>79</v>
      </c>
      <c r="B128" s="186"/>
      <c r="C128" s="186"/>
      <c r="D128" s="186"/>
      <c r="E128" s="186"/>
      <c r="F128" s="186"/>
      <c r="G128" s="1"/>
      <c r="H128" s="1"/>
      <c r="I128" s="1"/>
      <c r="J128" s="1"/>
      <c r="K128" s="1"/>
      <c r="L128" s="1"/>
      <c r="M128" s="1"/>
      <c r="N128" s="1"/>
      <c r="O128" s="1"/>
      <c r="P128" s="1"/>
      <c r="Q128" s="1"/>
      <c r="R128" s="171"/>
      <c r="S128" s="121"/>
      <c r="T128" s="172" t="s">
        <v>80</v>
      </c>
      <c r="U128" s="1"/>
      <c r="V128" s="1"/>
      <c r="W128" s="1"/>
      <c r="X128" s="1"/>
      <c r="Y128" s="1"/>
      <c r="Z128" s="1"/>
      <c r="AA128" s="1"/>
      <c r="AB128" s="163"/>
      <c r="AC128" s="138"/>
      <c r="AE128" s="164" t="s">
        <v>81</v>
      </c>
      <c r="AF128" s="165"/>
      <c r="AG128" s="165"/>
      <c r="AH128" s="165"/>
      <c r="AI128" s="165"/>
      <c r="AJ128" s="165"/>
      <c r="AK128" s="187" t="e">
        <f>AK127/AK123</f>
        <v>#DIV/0!</v>
      </c>
      <c r="AL128" s="187" t="e">
        <f>AL127/AL123</f>
        <v>#DIV/0!</v>
      </c>
      <c r="AM128" s="188" t="e">
        <f>AM127/AM123</f>
        <v>#DIV/0!</v>
      </c>
      <c r="AQ128" s="1"/>
    </row>
    <row r="129" ht="15.75" customHeight="1" spans="1:43" x14ac:dyDescent="0.25">
      <c r="A129" s="186"/>
      <c r="B129" s="186"/>
      <c r="C129" s="186"/>
      <c r="D129" s="186"/>
      <c r="E129" s="186"/>
      <c r="F129" s="186"/>
      <c r="G129" s="1"/>
      <c r="H129" s="1"/>
      <c r="I129" s="1"/>
      <c r="J129" s="1"/>
      <c r="K129" s="1"/>
      <c r="L129" s="1"/>
      <c r="M129" s="1"/>
      <c r="N129" s="1"/>
      <c r="O129" s="1"/>
      <c r="P129" s="1"/>
      <c r="Q129" s="1"/>
      <c r="R129" s="171"/>
      <c r="S129" s="121"/>
      <c r="T129" s="172" t="s">
        <v>82</v>
      </c>
      <c r="U129" s="1"/>
      <c r="V129" s="1"/>
      <c r="W129" s="1"/>
      <c r="X129" s="1"/>
      <c r="Y129" s="1"/>
      <c r="Z129" s="1"/>
      <c r="AA129" s="1"/>
      <c r="AB129" s="163"/>
      <c r="AC129" s="138"/>
      <c r="AE129" s="164"/>
      <c r="AF129" s="165"/>
      <c r="AG129" s="165"/>
      <c r="AH129" s="165"/>
      <c r="AI129" s="165"/>
      <c r="AJ129" s="165"/>
      <c r="AK129" s="174"/>
      <c r="AL129" s="187"/>
      <c r="AM129" s="188"/>
      <c r="AQ129" s="1"/>
    </row>
    <row r="130" ht="15.75" customHeight="1" spans="1:43" x14ac:dyDescent="0.25">
      <c r="A130" s="189" t="s">
        <v>83</v>
      </c>
      <c r="B130" s="189"/>
      <c r="C130" s="189"/>
      <c r="D130" s="189"/>
      <c r="E130" s="189"/>
      <c r="F130" s="189"/>
      <c r="G130" s="1"/>
      <c r="H130" s="1"/>
      <c r="I130" s="1"/>
      <c r="J130" s="1"/>
      <c r="K130" s="1"/>
      <c r="L130" s="1"/>
      <c r="M130" s="1"/>
      <c r="N130" s="1"/>
      <c r="O130" s="1"/>
      <c r="P130" s="1"/>
      <c r="Q130" s="1"/>
      <c r="R130" s="1"/>
      <c r="S130" s="121"/>
      <c r="T130" s="172" t="s">
        <v>84</v>
      </c>
      <c r="U130" s="1"/>
      <c r="V130" s="1"/>
      <c r="W130" s="1"/>
      <c r="X130" s="1"/>
      <c r="Y130" s="1"/>
      <c r="Z130" s="1"/>
      <c r="AA130" s="1"/>
      <c r="AB130" s="163"/>
      <c r="AC130" s="138"/>
      <c r="AD130" s="190"/>
      <c r="AE130" s="164" t="s">
        <v>85</v>
      </c>
      <c r="AF130" s="165"/>
      <c r="AG130" s="165"/>
      <c r="AH130" s="165"/>
      <c r="AI130" s="165"/>
      <c r="AJ130" s="165"/>
      <c r="AK130" s="191">
        <v>0</v>
      </c>
      <c r="AL130" s="191">
        <v>0</v>
      </c>
      <c r="AM130" s="192">
        <f>AK130+AL130</f>
        <v>0</v>
      </c>
      <c r="AQ130" s="1"/>
    </row>
    <row r="131" ht="16.5" customHeight="1" spans="1:43" x14ac:dyDescent="0.25">
      <c r="A131" s="189"/>
      <c r="B131" s="189"/>
      <c r="C131" s="189"/>
      <c r="D131" s="189"/>
      <c r="E131" s="189"/>
      <c r="F131" s="189"/>
      <c r="G131" s="1"/>
      <c r="H131" s="1"/>
      <c r="I131" s="1"/>
      <c r="J131" s="1"/>
      <c r="K131" s="1"/>
      <c r="L131" s="1"/>
      <c r="M131" s="1"/>
      <c r="N131" s="1"/>
      <c r="O131" s="1"/>
      <c r="P131" s="1"/>
      <c r="Q131" s="1"/>
      <c r="R131" s="1"/>
      <c r="S131" s="121"/>
      <c r="T131" s="172" t="s">
        <v>86</v>
      </c>
      <c r="U131" s="1"/>
      <c r="V131" s="1"/>
      <c r="W131" s="1"/>
      <c r="X131" s="1"/>
      <c r="Y131" s="1"/>
      <c r="Z131" s="1"/>
      <c r="AA131" s="1"/>
      <c r="AB131" s="3"/>
      <c r="AC131" s="138"/>
      <c r="AE131" s="164"/>
      <c r="AF131" s="165"/>
      <c r="AG131" s="165"/>
      <c r="AH131" s="165"/>
      <c r="AI131" s="165"/>
      <c r="AJ131" s="165"/>
      <c r="AK131" s="152"/>
      <c r="AL131" s="152"/>
      <c r="AM131" s="153"/>
      <c r="AQ131" s="1"/>
    </row>
    <row r="132" ht="14.25" customHeight="1" spans="1:43" x14ac:dyDescent="0.25">
      <c r="A132" s="120" t="s">
        <v>87</v>
      </c>
      <c r="B132" s="186"/>
      <c r="C132" s="186"/>
      <c r="D132" s="186"/>
      <c r="E132" s="186"/>
      <c r="F132" s="186"/>
      <c r="G132" s="193"/>
      <c r="H132" s="193"/>
      <c r="I132" s="193"/>
      <c r="J132" s="193"/>
      <c r="K132" s="193"/>
      <c r="L132" s="193"/>
      <c r="M132" s="193"/>
      <c r="N132" s="193"/>
      <c r="O132" s="193"/>
      <c r="P132" s="193"/>
      <c r="Q132" s="193"/>
      <c r="R132" s="171"/>
      <c r="S132" s="121"/>
      <c r="T132" s="172" t="s">
        <v>88</v>
      </c>
      <c r="U132" s="1"/>
      <c r="V132" s="1"/>
      <c r="W132" s="1"/>
      <c r="X132" s="1"/>
      <c r="Y132" s="1"/>
      <c r="Z132" s="1"/>
      <c r="AA132" s="1"/>
      <c r="AB132" s="163"/>
      <c r="AC132" s="138"/>
      <c r="AE132" s="194" t="s">
        <v>89</v>
      </c>
      <c r="AF132" s="195"/>
      <c r="AG132" s="195"/>
      <c r="AH132" s="195"/>
      <c r="AI132" s="195"/>
      <c r="AJ132" s="195"/>
      <c r="AK132" s="196">
        <f>COUNTIF(AH13:AI62,"NLS")</f>
        <v>0</v>
      </c>
      <c r="AL132" s="196">
        <f>COUNTIF(AH64:AI113,"NLS")</f>
        <v>0</v>
      </c>
      <c r="AM132" s="167">
        <f>AK132+AL132</f>
        <v>0</v>
      </c>
      <c r="AQ132" s="1"/>
    </row>
    <row r="133" ht="15.75" customHeight="1" spans="1:43" x14ac:dyDescent="0.25">
      <c r="A133" s="158" t="s">
        <v>90</v>
      </c>
      <c r="B133" s="189" t="s">
        <v>91</v>
      </c>
      <c r="C133" s="189"/>
      <c r="D133" s="189"/>
      <c r="E133" s="189"/>
      <c r="F133" s="189"/>
      <c r="G133" s="1"/>
      <c r="H133" s="1"/>
      <c r="I133" s="1"/>
      <c r="J133" s="1"/>
      <c r="K133" s="1"/>
      <c r="L133" s="1"/>
      <c r="M133" s="1"/>
      <c r="N133" s="1"/>
      <c r="O133" s="1"/>
      <c r="P133" s="1"/>
      <c r="Q133" s="1"/>
      <c r="R133" s="120"/>
      <c r="S133" s="121"/>
      <c r="T133" s="172" t="s">
        <v>92</v>
      </c>
      <c r="U133" s="1"/>
      <c r="V133" s="1"/>
      <c r="W133" s="1"/>
      <c r="X133" s="1"/>
      <c r="Y133" s="1"/>
      <c r="Z133" s="1"/>
      <c r="AA133" s="1"/>
      <c r="AB133" s="3"/>
      <c r="AC133" s="138"/>
      <c r="AE133" s="194"/>
      <c r="AF133" s="195"/>
      <c r="AG133" s="195"/>
      <c r="AH133" s="195"/>
      <c r="AI133" s="195"/>
      <c r="AJ133" s="195"/>
      <c r="AK133" s="196"/>
      <c r="AL133" s="196"/>
      <c r="AM133" s="167"/>
      <c r="AQ133" s="1"/>
    </row>
    <row r="134" ht="15.75" customHeight="1" spans="7:43" x14ac:dyDescent="0.25">
      <c r="G134" s="119"/>
      <c r="H134" s="119"/>
      <c r="I134" s="119"/>
      <c r="J134" s="119"/>
      <c r="K134" s="197"/>
      <c r="L134" s="197"/>
      <c r="M134" s="197"/>
      <c r="N134" s="197"/>
      <c r="O134" s="1"/>
      <c r="P134" s="1"/>
      <c r="Q134" s="1"/>
      <c r="R134" s="1"/>
      <c r="S134" s="121"/>
      <c r="T134" s="172" t="s">
        <v>93</v>
      </c>
      <c r="U134" s="1"/>
      <c r="V134" s="1"/>
      <c r="W134" s="1"/>
      <c r="X134" s="1"/>
      <c r="Y134" s="1"/>
      <c r="Z134" s="1"/>
      <c r="AA134" s="1"/>
      <c r="AB134" s="1"/>
      <c r="AC134" s="138"/>
      <c r="AE134" s="194" t="s">
        <v>94</v>
      </c>
      <c r="AF134" s="195"/>
      <c r="AG134" s="195"/>
      <c r="AH134" s="195"/>
      <c r="AI134" s="195"/>
      <c r="AJ134" s="195"/>
      <c r="AK134" s="174">
        <f>COUNTIF(AH13:AI62,"Transferred Out")</f>
        <v>0</v>
      </c>
      <c r="AL134" s="174">
        <f>COUNTIF(AH64:AI113,"Transferred Out")</f>
        <v>0</v>
      </c>
      <c r="AM134" s="157">
        <f>AK134+AL134</f>
        <v>0</v>
      </c>
      <c r="AQ134" s="1"/>
    </row>
    <row r="135" ht="14.25" customHeight="1" spans="2:43" x14ac:dyDescent="0.25">
      <c r="B135" s="119"/>
      <c r="C135" s="119"/>
      <c r="D135" s="119"/>
      <c r="E135" s="119"/>
      <c r="F135" s="119"/>
      <c r="G135" s="119"/>
      <c r="H135" s="119"/>
      <c r="I135" s="119"/>
      <c r="J135" s="119"/>
      <c r="K135" s="1"/>
      <c r="L135" s="1"/>
      <c r="M135" s="1"/>
      <c r="N135" s="1"/>
      <c r="O135" s="1"/>
      <c r="P135" s="1"/>
      <c r="Q135" s="1"/>
      <c r="R135" s="1"/>
      <c r="S135" s="121"/>
      <c r="T135" s="162" t="s">
        <v>95</v>
      </c>
      <c r="U135" s="1"/>
      <c r="V135" s="1"/>
      <c r="W135" s="1"/>
      <c r="X135" s="1"/>
      <c r="Y135" s="1"/>
      <c r="Z135" s="163"/>
      <c r="AA135" s="163"/>
      <c r="AB135" s="163"/>
      <c r="AC135" s="138"/>
      <c r="AE135" s="194"/>
      <c r="AF135" s="195"/>
      <c r="AG135" s="195"/>
      <c r="AH135" s="195"/>
      <c r="AI135" s="195"/>
      <c r="AJ135" s="195"/>
      <c r="AK135" s="174"/>
      <c r="AL135" s="174"/>
      <c r="AM135" s="157"/>
      <c r="AQ135" s="1"/>
    </row>
    <row r="136" ht="15" customHeight="1" spans="2:43" x14ac:dyDescent="0.25">
      <c r="B136" s="198"/>
      <c r="C136" s="198"/>
      <c r="D136" s="198"/>
      <c r="E136" s="198"/>
      <c r="F136" s="198"/>
      <c r="G136" s="1"/>
      <c r="H136" s="1"/>
      <c r="I136" s="1"/>
      <c r="J136" s="1"/>
      <c r="K136" s="1"/>
      <c r="L136" s="1"/>
      <c r="M136" s="1"/>
      <c r="N136" s="1"/>
      <c r="O136" s="1"/>
      <c r="P136" s="1"/>
      <c r="Q136" s="1"/>
      <c r="R136" s="1"/>
      <c r="S136" s="121"/>
      <c r="T136" s="172" t="s">
        <v>96</v>
      </c>
      <c r="U136" s="1"/>
      <c r="V136" s="1"/>
      <c r="W136" s="1"/>
      <c r="X136" s="1"/>
      <c r="Y136" s="1"/>
      <c r="Z136" s="1"/>
      <c r="AA136" s="1"/>
      <c r="AB136" s="1"/>
      <c r="AC136" s="138"/>
      <c r="AD136" s="148"/>
      <c r="AE136" s="194" t="s">
        <v>97</v>
      </c>
      <c r="AF136" s="195"/>
      <c r="AG136" s="195"/>
      <c r="AH136" s="195"/>
      <c r="AI136" s="195"/>
      <c r="AJ136" s="195"/>
      <c r="AK136" s="174">
        <f>COUNTIF(AH13:AI62,"Transferred In")</f>
        <v>0</v>
      </c>
      <c r="AL136" s="174">
        <f>COUNTIF(AH64:AI113,"Transferred In")</f>
        <v>0</v>
      </c>
      <c r="AM136" s="157">
        <f>AK136+AL136</f>
        <v>0</v>
      </c>
      <c r="AQ136" s="1"/>
    </row>
    <row r="137" ht="15.75" customHeight="1" spans="2:43" x14ac:dyDescent="0.25">
      <c r="B137" s="198"/>
      <c r="C137" s="198"/>
      <c r="D137" s="198"/>
      <c r="E137" s="198"/>
      <c r="F137" s="198"/>
      <c r="G137" s="1"/>
      <c r="H137" s="1"/>
      <c r="I137" s="1"/>
      <c r="J137" s="1"/>
      <c r="K137" s="1"/>
      <c r="L137" s="1"/>
      <c r="M137" s="1"/>
      <c r="N137" s="1"/>
      <c r="O137" s="1"/>
      <c r="P137" s="1"/>
      <c r="Q137" s="1"/>
      <c r="R137" s="1"/>
      <c r="S137" s="121"/>
      <c r="T137" s="172" t="s">
        <v>98</v>
      </c>
      <c r="U137" s="1"/>
      <c r="V137" s="1"/>
      <c r="W137" s="1"/>
      <c r="X137" s="1"/>
      <c r="Y137" s="1"/>
      <c r="Z137" s="1"/>
      <c r="AA137" s="1"/>
      <c r="AB137" s="1"/>
      <c r="AC137" s="138"/>
      <c r="AE137" s="199"/>
      <c r="AF137" s="146"/>
      <c r="AG137" s="146"/>
      <c r="AH137" s="146"/>
      <c r="AI137" s="146"/>
      <c r="AJ137" s="146"/>
      <c r="AK137" s="200"/>
      <c r="AL137" s="200"/>
      <c r="AM137" s="201"/>
      <c r="AQ137" s="1"/>
    </row>
    <row r="138" ht="14.25" customHeight="1" spans="2:43" x14ac:dyDescent="0.25">
      <c r="B138" s="3"/>
      <c r="C138" s="3"/>
      <c r="D138" s="3"/>
      <c r="E138" s="3"/>
      <c r="F138" s="3"/>
      <c r="G138" s="1"/>
      <c r="H138" s="1"/>
      <c r="I138" s="1"/>
      <c r="J138" s="1"/>
      <c r="K138" s="1"/>
      <c r="L138" s="1"/>
      <c r="M138" s="1"/>
      <c r="N138" s="1"/>
      <c r="O138" s="1"/>
      <c r="P138" s="1"/>
      <c r="Q138" s="1"/>
      <c r="R138" s="1"/>
      <c r="S138" s="121"/>
      <c r="T138" s="172" t="s">
        <v>99</v>
      </c>
      <c r="U138" s="1"/>
      <c r="V138" s="1"/>
      <c r="W138" s="1"/>
      <c r="X138" s="1"/>
      <c r="Y138" s="1"/>
      <c r="Z138" s="1"/>
      <c r="AA138" s="1"/>
      <c r="AB138" s="1"/>
      <c r="AC138" s="138"/>
      <c r="AQ138" s="1"/>
    </row>
    <row r="139" spans="2:43" x14ac:dyDescent="0.25">
      <c r="B139" s="3"/>
      <c r="C139" s="3"/>
      <c r="D139" s="3"/>
      <c r="E139" s="3"/>
      <c r="F139" s="3"/>
      <c r="G139" s="3"/>
      <c r="H139" s="3"/>
      <c r="I139" s="3"/>
      <c r="J139" s="3"/>
      <c r="K139" s="1"/>
      <c r="L139" s="1"/>
      <c r="M139" s="1"/>
      <c r="N139" s="1"/>
      <c r="O139" s="1"/>
      <c r="P139" s="1"/>
      <c r="Q139" s="1"/>
      <c r="R139" s="1"/>
      <c r="S139" s="121"/>
      <c r="T139" s="162" t="s">
        <v>100</v>
      </c>
      <c r="U139" s="1"/>
      <c r="V139" s="1"/>
      <c r="W139" s="1"/>
      <c r="X139" s="1"/>
      <c r="Y139" s="1"/>
      <c r="Z139" s="1"/>
      <c r="AA139" s="1"/>
      <c r="AB139" s="1"/>
      <c r="AC139" s="138"/>
      <c r="AE139" s="202" t="s">
        <v>101</v>
      </c>
      <c r="AM139" s="203"/>
      <c r="AQ139" s="1"/>
    </row>
    <row r="140" spans="2:43" x14ac:dyDescent="0.25">
      <c r="B140" s="204"/>
      <c r="C140" s="204"/>
      <c r="D140" s="204"/>
      <c r="E140" s="204"/>
      <c r="F140" s="204"/>
      <c r="G140" s="3"/>
      <c r="H140" s="3"/>
      <c r="I140" s="3"/>
      <c r="J140" s="3"/>
      <c r="K140" s="1"/>
      <c r="L140" s="1"/>
      <c r="M140" s="1"/>
      <c r="N140" s="1"/>
      <c r="O140" s="1"/>
      <c r="P140" s="1"/>
      <c r="Q140" s="1"/>
      <c r="R140" s="1"/>
      <c r="S140" s="121"/>
      <c r="T140" s="172" t="s">
        <v>102</v>
      </c>
      <c r="U140" s="1"/>
      <c r="V140" s="1"/>
      <c r="W140" s="1"/>
      <c r="X140" s="1"/>
      <c r="Y140" s="1"/>
      <c r="Z140" s="1"/>
      <c r="AA140" s="1"/>
      <c r="AB140" s="1"/>
      <c r="AC140" s="138"/>
      <c r="AE140" s="205"/>
      <c r="AF140" s="205"/>
      <c r="AG140" s="205"/>
      <c r="AH140" s="205"/>
      <c r="AI140" s="205"/>
      <c r="AJ140" s="205"/>
      <c r="AK140" s="205"/>
      <c r="AL140" s="205"/>
      <c r="AM140" s="205"/>
      <c r="AQ140" s="1"/>
    </row>
    <row r="141" ht="12" customHeight="1" spans="2:43" x14ac:dyDescent="0.25">
      <c r="B141" s="204"/>
      <c r="C141" s="204"/>
      <c r="D141" s="204"/>
      <c r="E141" s="204"/>
      <c r="F141" s="204"/>
      <c r="G141" s="1"/>
      <c r="H141" s="1"/>
      <c r="I141" s="1"/>
      <c r="J141" s="1"/>
      <c r="K141" s="1"/>
      <c r="L141" s="1"/>
      <c r="M141" s="1"/>
      <c r="N141" s="1"/>
      <c r="O141" s="1"/>
      <c r="P141" s="1"/>
      <c r="Q141" s="1"/>
      <c r="R141" s="1"/>
      <c r="S141" s="121"/>
      <c r="T141" s="206" t="s">
        <v>103</v>
      </c>
      <c r="U141" s="1"/>
      <c r="V141" s="1"/>
      <c r="W141" s="1"/>
      <c r="X141" s="1"/>
      <c r="Y141" s="1"/>
      <c r="Z141" s="1"/>
      <c r="AA141" s="1"/>
      <c r="AB141" s="1"/>
      <c r="AC141" s="207"/>
      <c r="AE141" s="97"/>
      <c r="AF141" s="97"/>
      <c r="AG141" s="97"/>
      <c r="AH141" s="97"/>
      <c r="AI141" s="97"/>
      <c r="AJ141" s="97"/>
      <c r="AK141" s="97"/>
      <c r="AL141" s="97"/>
      <c r="AM141" s="97"/>
      <c r="AQ141" s="1"/>
    </row>
    <row r="142" spans="2:43" x14ac:dyDescent="0.25">
      <c r="B142" s="204"/>
      <c r="C142" s="204"/>
      <c r="D142" s="204"/>
      <c r="E142" s="204"/>
      <c r="F142" s="204"/>
      <c r="G142" s="1"/>
      <c r="H142" s="1"/>
      <c r="I142" s="1"/>
      <c r="J142" s="1"/>
      <c r="K142" s="1"/>
      <c r="L142" s="1"/>
      <c r="M142" s="1"/>
      <c r="N142" s="1"/>
      <c r="O142" s="1"/>
      <c r="P142" s="1"/>
      <c r="Q142" s="1"/>
      <c r="R142" s="1"/>
      <c r="S142" s="121"/>
      <c r="T142" s="1"/>
      <c r="U142" s="1"/>
      <c r="V142" s="1"/>
      <c r="W142" s="1"/>
      <c r="X142" s="1"/>
      <c r="Y142" s="1"/>
      <c r="Z142" s="1"/>
      <c r="AA142" s="1"/>
      <c r="AB142" s="1"/>
      <c r="AC142" s="207"/>
      <c r="AE142" s="208" t="s">
        <v>104</v>
      </c>
      <c r="AF142" s="208"/>
      <c r="AG142" s="208"/>
      <c r="AH142" s="208"/>
      <c r="AI142" s="208"/>
      <c r="AJ142" s="208"/>
      <c r="AK142" s="208"/>
      <c r="AL142" s="208"/>
      <c r="AM142" s="208"/>
      <c r="AQ142" s="1"/>
    </row>
    <row r="143" spans="2:43" x14ac:dyDescent="0.25">
      <c r="B143" s="204"/>
      <c r="C143" s="204"/>
      <c r="D143" s="204"/>
      <c r="E143" s="204"/>
      <c r="F143" s="204"/>
      <c r="G143" s="1"/>
      <c r="H143" s="1"/>
      <c r="I143" s="1"/>
      <c r="J143" s="1"/>
      <c r="K143" s="1"/>
      <c r="L143" s="1"/>
      <c r="M143" s="1"/>
      <c r="N143" s="1"/>
      <c r="O143" s="1"/>
      <c r="P143" s="1"/>
      <c r="Q143" s="1"/>
      <c r="R143" s="1"/>
      <c r="S143" s="1"/>
      <c r="T143" s="172" t="s">
        <v>105</v>
      </c>
      <c r="U143" s="1"/>
      <c r="V143" s="1"/>
      <c r="W143" s="1"/>
      <c r="X143" s="1"/>
      <c r="Y143" s="1"/>
      <c r="Z143" s="1"/>
      <c r="AA143" s="1"/>
      <c r="AB143" s="1"/>
      <c r="AC143" s="209"/>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2" t="s">
        <v>106</v>
      </c>
      <c r="U144" s="1"/>
      <c r="V144" s="1"/>
      <c r="W144" s="1"/>
      <c r="X144" s="1"/>
      <c r="Y144" s="1"/>
      <c r="Z144" s="1"/>
      <c r="AA144" s="1"/>
      <c r="AB144" s="1"/>
      <c r="AC144" s="209"/>
      <c r="AE144" s="1" t="s">
        <v>107</v>
      </c>
      <c r="AG144" s="202"/>
      <c r="AH144" s="202"/>
      <c r="AI144" s="202"/>
      <c r="AJ144" s="202"/>
      <c r="AK144" s="202"/>
      <c r="AL144" s="202"/>
      <c r="AQ144" s="1"/>
    </row>
    <row r="145" ht="27.65" customHeight="1" spans="1:43" x14ac:dyDescent="0.25">
      <c r="A145" s="210"/>
      <c r="B145" s="210"/>
      <c r="C145" s="210"/>
      <c r="D145" s="210"/>
      <c r="E145" s="210"/>
      <c r="F145" s="210"/>
      <c r="G145" s="1"/>
      <c r="H145" s="1"/>
      <c r="I145" s="1"/>
      <c r="J145" s="1"/>
      <c r="K145" s="1"/>
      <c r="L145" s="1"/>
      <c r="M145" s="1"/>
      <c r="N145" s="1"/>
      <c r="O145" s="1"/>
      <c r="P145" s="1"/>
      <c r="Q145" s="1"/>
      <c r="R145" s="1"/>
      <c r="S145" s="1"/>
      <c r="T145" s="172" t="s">
        <v>108</v>
      </c>
      <c r="U145" s="1"/>
      <c r="V145" s="1"/>
      <c r="W145" s="1"/>
      <c r="X145" s="1"/>
      <c r="Y145" s="1"/>
      <c r="Z145" s="1"/>
      <c r="AA145" s="1"/>
      <c r="AB145" s="1"/>
      <c r="AC145" s="209"/>
      <c r="AE145" s="97"/>
      <c r="AF145" s="97"/>
      <c r="AG145" s="97"/>
      <c r="AH145" s="97"/>
      <c r="AI145" s="97"/>
      <c r="AJ145" s="97"/>
      <c r="AK145" s="97"/>
      <c r="AL145" s="97"/>
      <c r="AM145" s="97"/>
      <c r="AQ145" s="1"/>
    </row>
    <row r="146" ht="14.25" customHeight="1" spans="1:43" x14ac:dyDescent="0.25">
      <c r="A146" s="210"/>
      <c r="B146" s="210"/>
      <c r="C146" s="210"/>
      <c r="D146" s="210"/>
      <c r="E146" s="210"/>
      <c r="F146" s="210"/>
      <c r="G146" s="1"/>
      <c r="H146" s="1"/>
      <c r="I146" s="1"/>
      <c r="J146" s="1"/>
      <c r="K146" s="1"/>
      <c r="L146" s="1"/>
      <c r="M146" s="1"/>
      <c r="N146" s="1"/>
      <c r="O146" s="1"/>
      <c r="P146" s="1"/>
      <c r="Q146" s="1"/>
      <c r="R146" s="1"/>
      <c r="S146" s="1"/>
      <c r="T146" s="211" t="s">
        <v>109</v>
      </c>
      <c r="U146" s="212"/>
      <c r="V146" s="212"/>
      <c r="W146" s="212"/>
      <c r="X146" s="212"/>
      <c r="Y146" s="212"/>
      <c r="Z146" s="212"/>
      <c r="AA146" s="212"/>
      <c r="AB146" s="212"/>
      <c r="AC146" s="213"/>
      <c r="AE146" s="208" t="s">
        <v>110</v>
      </c>
      <c r="AF146" s="208"/>
      <c r="AG146" s="208"/>
      <c r="AH146" s="208"/>
      <c r="AI146" s="208"/>
      <c r="AJ146" s="208"/>
      <c r="AK146" s="208"/>
      <c r="AL146" s="208"/>
      <c r="AM146" s="208"/>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1"/>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1"/>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1"/>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1"/>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1"/>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1"/>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1"/>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1"/>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1"/>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1"/>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1"/>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1"/>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1"/>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1"/>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1"/>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1"/>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1"/>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1"/>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1"/>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1"/>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1"/>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1"/>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1"/>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1"/>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1"/>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1"/>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1"/>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1"/>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1"/>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1"/>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1"/>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1"/>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1"/>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1"/>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1"/>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1"/>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1"/>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1"/>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1"/>
    </row>
    <row r="55" ht="21.9" customHeight="1" spans="1:43" x14ac:dyDescent="0.25">
      <c r="A55" s="62">
        <v>43</v>
      </c>
      <c r="B55" s="77"/>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1"/>
    </row>
    <row r="56" ht="21.9" customHeight="1" spans="1:43" x14ac:dyDescent="0.25">
      <c r="A56" s="62">
        <v>44</v>
      </c>
      <c r="B56" s="77"/>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1"/>
    </row>
    <row r="57" ht="21.9" customHeight="1" spans="1:43" x14ac:dyDescent="0.25">
      <c r="A57" s="62">
        <v>45</v>
      </c>
      <c r="B57" s="77"/>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1"/>
    </row>
    <row r="58" ht="21.9" customHeight="1" spans="1:43" x14ac:dyDescent="0.25">
      <c r="A58" s="62">
        <v>46</v>
      </c>
      <c r="B58" s="77"/>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1"/>
    </row>
    <row r="59" ht="21.9" customHeight="1" spans="1:43" x14ac:dyDescent="0.25">
      <c r="A59" s="62">
        <v>47</v>
      </c>
      <c r="B59" s="77"/>
      <c r="C59" s="78"/>
      <c r="D59" s="78"/>
      <c r="E59" s="78"/>
      <c r="F59" s="78"/>
      <c r="G59" s="79"/>
      <c r="H59" s="80"/>
      <c r="I59" s="80"/>
      <c r="J59" s="80"/>
      <c r="K59" s="81"/>
      <c r="L59" s="82"/>
      <c r="M59" s="80"/>
      <c r="N59" s="80"/>
      <c r="O59" s="80"/>
      <c r="P59" s="83"/>
      <c r="Q59" s="79"/>
      <c r="R59" s="80"/>
      <c r="S59" s="80"/>
      <c r="T59" s="80"/>
      <c r="U59" s="81"/>
      <c r="V59" s="82"/>
      <c r="W59" s="80"/>
      <c r="X59" s="80"/>
      <c r="Y59" s="80"/>
      <c r="Z59" s="83"/>
      <c r="AA59" s="79"/>
      <c r="AB59" s="80"/>
      <c r="AC59" s="80"/>
      <c r="AD59" s="83"/>
      <c r="AE59" s="81"/>
      <c r="AF59" s="72">
        <f t="shared" si="0"/>
      </c>
      <c r="AG59" s="73">
        <f t="shared" si="2"/>
      </c>
      <c r="AH59" s="74"/>
      <c r="AI59" s="75"/>
      <c r="AJ59" s="75"/>
      <c r="AK59" s="75"/>
      <c r="AL59" s="75"/>
      <c r="AM59" s="76"/>
      <c r="AQ59" s="1"/>
    </row>
    <row r="60" ht="21.9" customHeight="1" spans="1:43" x14ac:dyDescent="0.25">
      <c r="A60" s="62">
        <v>48</v>
      </c>
      <c r="B60" s="77"/>
      <c r="C60" s="78"/>
      <c r="D60" s="78"/>
      <c r="E60" s="78"/>
      <c r="F60" s="78"/>
      <c r="G60" s="79"/>
      <c r="H60" s="80"/>
      <c r="I60" s="80"/>
      <c r="J60" s="80"/>
      <c r="K60" s="81"/>
      <c r="L60" s="82"/>
      <c r="M60" s="80"/>
      <c r="N60" s="80"/>
      <c r="O60" s="80"/>
      <c r="P60" s="83"/>
      <c r="Q60" s="79"/>
      <c r="R60" s="80"/>
      <c r="S60" s="80"/>
      <c r="T60" s="80"/>
      <c r="U60" s="81"/>
      <c r="V60" s="82"/>
      <c r="W60" s="80"/>
      <c r="X60" s="80"/>
      <c r="Y60" s="80"/>
      <c r="Z60" s="83"/>
      <c r="AA60" s="79"/>
      <c r="AB60" s="80"/>
      <c r="AC60" s="80"/>
      <c r="AD60" s="83"/>
      <c r="AE60" s="81"/>
      <c r="AF60" s="72">
        <f t="shared" si="0"/>
      </c>
      <c r="AG60" s="73">
        <f t="shared" si="2"/>
      </c>
      <c r="AH60" s="74"/>
      <c r="AI60" s="75"/>
      <c r="AJ60" s="75"/>
      <c r="AK60" s="75"/>
      <c r="AL60" s="75"/>
      <c r="AM60" s="76"/>
      <c r="AQ60" s="1"/>
    </row>
    <row r="61" ht="21.9" customHeight="1" spans="1:43" x14ac:dyDescent="0.25">
      <c r="A61" s="62">
        <v>49</v>
      </c>
      <c r="B61" s="77"/>
      <c r="C61" s="78"/>
      <c r="D61" s="78"/>
      <c r="E61" s="78"/>
      <c r="F61" s="78"/>
      <c r="G61" s="79"/>
      <c r="H61" s="80"/>
      <c r="I61" s="80"/>
      <c r="J61" s="80"/>
      <c r="K61" s="81"/>
      <c r="L61" s="82"/>
      <c r="M61" s="80"/>
      <c r="N61" s="80"/>
      <c r="O61" s="80"/>
      <c r="P61" s="83"/>
      <c r="Q61" s="79"/>
      <c r="R61" s="80"/>
      <c r="S61" s="80"/>
      <c r="T61" s="80"/>
      <c r="U61" s="81"/>
      <c r="V61" s="82"/>
      <c r="W61" s="80"/>
      <c r="X61" s="80"/>
      <c r="Y61" s="80"/>
      <c r="Z61" s="83"/>
      <c r="AA61" s="79"/>
      <c r="AB61" s="80"/>
      <c r="AC61" s="80"/>
      <c r="AD61" s="83"/>
      <c r="AE61" s="81"/>
      <c r="AF61" s="72">
        <f t="shared" si="0"/>
      </c>
      <c r="AG61" s="73">
        <f t="shared" si="2"/>
      </c>
      <c r="AH61" s="74"/>
      <c r="AI61" s="75"/>
      <c r="AJ61" s="75"/>
      <c r="AK61" s="75"/>
      <c r="AL61" s="75"/>
      <c r="AM61" s="76"/>
      <c r="AQ61" s="1"/>
    </row>
    <row r="62" ht="21.9" customHeight="1" spans="1:43" x14ac:dyDescent="0.25">
      <c r="A62" s="79">
        <v>50</v>
      </c>
      <c r="B62" s="84"/>
      <c r="C62" s="78"/>
      <c r="D62" s="78"/>
      <c r="E62" s="78"/>
      <c r="F62" s="78"/>
      <c r="G62" s="79"/>
      <c r="H62" s="80"/>
      <c r="I62" s="80"/>
      <c r="J62" s="80"/>
      <c r="K62" s="81"/>
      <c r="L62" s="82"/>
      <c r="M62" s="80"/>
      <c r="N62" s="80"/>
      <c r="O62" s="80"/>
      <c r="P62" s="83"/>
      <c r="Q62" s="79"/>
      <c r="R62" s="80"/>
      <c r="S62" s="80"/>
      <c r="T62" s="80"/>
      <c r="U62" s="81"/>
      <c r="V62" s="82"/>
      <c r="W62" s="80"/>
      <c r="X62" s="80"/>
      <c r="Y62" s="80"/>
      <c r="Z62" s="83"/>
      <c r="AA62" s="79"/>
      <c r="AB62" s="80"/>
      <c r="AC62" s="80"/>
      <c r="AD62" s="83"/>
      <c r="AE62" s="81"/>
      <c r="AF62" s="72">
        <f t="shared" si="0"/>
      </c>
      <c r="AG62" s="73">
        <f t="shared" si="2"/>
      </c>
      <c r="AH62" s="74"/>
      <c r="AI62" s="75"/>
      <c r="AJ62" s="85"/>
      <c r="AK62" s="85"/>
      <c r="AL62" s="85"/>
      <c r="AM62" s="86"/>
      <c r="AQ62" s="1"/>
    </row>
    <row r="63" ht="21.9" customHeight="1" spans="1:43" x14ac:dyDescent="0.25">
      <c r="A63" s="87"/>
      <c r="B63" s="88" t="s">
        <v>36</v>
      </c>
      <c r="C63" s="88"/>
      <c r="D63" s="88"/>
      <c r="E63" s="88"/>
      <c r="F63" s="88"/>
      <c r="G63" s="89">
        <f t="shared" ref="G63:AE63" si="3">IF(G10="","",COUNTA($B$13:$B$62)-(COUNTIF(G13:G62,"x")*1+COUNTIF(G13:G62,"h")*0.5))</f>
      </c>
      <c r="H63" s="90">
        <f t="shared" si="3"/>
      </c>
      <c r="I63" s="90">
        <f t="shared" si="3"/>
        <v>0</v>
      </c>
      <c r="J63" s="90">
        <f t="shared" si="3"/>
        <v>0</v>
      </c>
      <c r="K63" s="91">
        <f t="shared" si="3"/>
        <v>0</v>
      </c>
      <c r="L63" s="89">
        <f t="shared" si="3"/>
        <v>0</v>
      </c>
      <c r="M63" s="90">
        <f t="shared" si="3"/>
        <v>0</v>
      </c>
      <c r="N63" s="90">
        <f t="shared" si="3"/>
        <v>0</v>
      </c>
      <c r="O63" s="90">
        <f t="shared" si="3"/>
        <v>0</v>
      </c>
      <c r="P63" s="91">
        <f t="shared" si="3"/>
        <v>0</v>
      </c>
      <c r="Q63" s="89">
        <f t="shared" si="3"/>
        <v>0</v>
      </c>
      <c r="R63" s="90">
        <f t="shared" si="3"/>
        <v>0</v>
      </c>
      <c r="S63" s="90">
        <f t="shared" si="3"/>
        <v>0</v>
      </c>
      <c r="T63" s="90">
        <f t="shared" si="3"/>
        <v>0</v>
      </c>
      <c r="U63" s="91">
        <f t="shared" si="3"/>
        <v>0</v>
      </c>
      <c r="V63" s="89">
        <f t="shared" si="3"/>
        <v>0</v>
      </c>
      <c r="W63" s="90">
        <f t="shared" si="3"/>
        <v>0</v>
      </c>
      <c r="X63" s="90">
        <f t="shared" si="3"/>
        <v>0</v>
      </c>
      <c r="Y63" s="90">
        <f t="shared" si="3"/>
        <v>0</v>
      </c>
      <c r="Z63" s="91">
        <f t="shared" si="3"/>
        <v>0</v>
      </c>
      <c r="AA63" s="89">
        <f t="shared" si="3"/>
        <v>0</v>
      </c>
      <c r="AB63" s="90">
        <f t="shared" si="3"/>
        <v>0</v>
      </c>
      <c r="AC63" s="90">
        <f t="shared" si="3"/>
        <v>0</v>
      </c>
      <c r="AD63" s="90">
        <f t="shared" si="3"/>
        <v>0</v>
      </c>
      <c r="AE63" s="91">
        <f t="shared" si="3"/>
        <v>0</v>
      </c>
      <c r="AF63" s="92">
        <f>SUM(AF13:AF62)</f>
        <v>0</v>
      </c>
      <c r="AG63" s="93">
        <f>SUM(AG13:AG62)</f>
        <v>0</v>
      </c>
      <c r="AH63" s="94"/>
      <c r="AI63" s="95"/>
      <c r="AJ63" s="95"/>
      <c r="AK63" s="95"/>
      <c r="AL63" s="95"/>
      <c r="AM63" s="96"/>
      <c r="AQ63" s="1"/>
    </row>
    <row r="64" ht="21.9" customHeight="1" spans="1:43" x14ac:dyDescent="0.25">
      <c r="A64" s="62">
        <v>1</v>
      </c>
      <c r="B64" s="63" t="s">
        <v>37</v>
      </c>
      <c r="C64" s="97"/>
      <c r="D64" s="97"/>
      <c r="E64" s="97"/>
      <c r="F64" s="97"/>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6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6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6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6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4"/>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1"/>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1"/>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1"/>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1"/>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1"/>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1"/>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1"/>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1"/>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1"/>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1"/>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1"/>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1"/>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1"/>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1"/>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1"/>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1"/>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1"/>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1"/>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1"/>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1"/>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1"/>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1"/>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1"/>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1"/>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1"/>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1"/>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1"/>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1"/>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1"/>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1"/>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1"/>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1"/>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1"/>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1"/>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1"/>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1"/>
    </row>
    <row r="105" ht="21.9" customHeight="1" spans="1:43" x14ac:dyDescent="0.25">
      <c r="A105" s="62">
        <v>42</v>
      </c>
      <c r="B105" s="77"/>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1"/>
    </row>
    <row r="106" ht="21.9" customHeight="1" spans="1:43" x14ac:dyDescent="0.25">
      <c r="A106" s="62">
        <v>43</v>
      </c>
      <c r="B106" s="77"/>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1"/>
    </row>
    <row r="107" ht="21.9" customHeight="1" spans="1:43" x14ac:dyDescent="0.25">
      <c r="A107" s="62">
        <v>44</v>
      </c>
      <c r="B107" s="77"/>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1"/>
    </row>
    <row r="108" ht="21.9" customHeight="1" spans="1:43" x14ac:dyDescent="0.25">
      <c r="A108" s="62">
        <v>45</v>
      </c>
      <c r="B108" s="77"/>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1"/>
    </row>
    <row r="109" ht="21.9" customHeight="1" spans="1:43" x14ac:dyDescent="0.25">
      <c r="A109" s="62">
        <v>46</v>
      </c>
      <c r="B109" s="77"/>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1"/>
    </row>
    <row r="110" ht="21.9" customHeight="1" spans="1:43" x14ac:dyDescent="0.25">
      <c r="A110" s="62">
        <v>47</v>
      </c>
      <c r="B110" s="77"/>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1"/>
    </row>
    <row r="111" ht="21.9" customHeight="1" spans="1:43" x14ac:dyDescent="0.25">
      <c r="A111" s="62">
        <v>48</v>
      </c>
      <c r="B111" s="77"/>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1"/>
    </row>
    <row r="112" ht="21.9" customHeight="1" spans="1:43" x14ac:dyDescent="0.25">
      <c r="A112" s="62">
        <v>49</v>
      </c>
      <c r="B112" s="77"/>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1"/>
    </row>
    <row r="113" ht="21.9" customHeight="1" spans="1:43" x14ac:dyDescent="0.25">
      <c r="A113" s="79">
        <v>50</v>
      </c>
      <c r="B113" s="84"/>
      <c r="C113" s="78"/>
      <c r="D113" s="78"/>
      <c r="E113" s="78"/>
      <c r="F113" s="78"/>
      <c r="G113" s="79"/>
      <c r="H113" s="80"/>
      <c r="I113" s="80"/>
      <c r="J113" s="80"/>
      <c r="K113" s="81"/>
      <c r="L113" s="82"/>
      <c r="M113" s="80"/>
      <c r="N113" s="80"/>
      <c r="O113" s="80"/>
      <c r="P113" s="83"/>
      <c r="Q113" s="79"/>
      <c r="R113" s="80"/>
      <c r="S113" s="80"/>
      <c r="T113" s="80"/>
      <c r="U113" s="81"/>
      <c r="V113" s="82"/>
      <c r="W113" s="80"/>
      <c r="X113" s="80"/>
      <c r="Y113" s="80"/>
      <c r="Z113" s="83"/>
      <c r="AA113" s="79"/>
      <c r="AB113" s="80"/>
      <c r="AC113" s="80"/>
      <c r="AD113" s="83"/>
      <c r="AE113" s="81"/>
      <c r="AF113" s="98">
        <f t="shared" si="4"/>
      </c>
      <c r="AG113" s="99">
        <f t="shared" si="5"/>
      </c>
      <c r="AH113" s="100"/>
      <c r="AI113" s="85"/>
      <c r="AJ113" s="85"/>
      <c r="AK113" s="85"/>
      <c r="AL113" s="85"/>
      <c r="AM113" s="86"/>
      <c r="AQ113" s="1"/>
    </row>
    <row r="114" ht="21.9" customHeight="1" spans="1:43" x14ac:dyDescent="0.25">
      <c r="A114" s="101" t="s">
        <v>42</v>
      </c>
      <c r="B114" s="88"/>
      <c r="C114" s="88"/>
      <c r="D114" s="88"/>
      <c r="E114" s="88"/>
      <c r="F114" s="88"/>
      <c r="G114" s="102">
        <f t="shared" ref="G114:AE114" si="6">IF(G10="","",COUNTA($B$64:$B$113)-(COUNTIF(G64:G113,"x")+COUNTIF(G64:G113,"h")*0.5))</f>
      </c>
      <c r="H114" s="90">
        <f t="shared" si="6"/>
      </c>
      <c r="I114" s="90">
        <f t="shared" si="6"/>
        <v>0</v>
      </c>
      <c r="J114" s="90">
        <f t="shared" si="6"/>
        <v>0</v>
      </c>
      <c r="K114" s="91">
        <f t="shared" si="6"/>
        <v>0</v>
      </c>
      <c r="L114" s="102">
        <f t="shared" si="6"/>
        <v>0</v>
      </c>
      <c r="M114" s="90">
        <f t="shared" si="6"/>
        <v>0</v>
      </c>
      <c r="N114" s="90">
        <f t="shared" si="6"/>
        <v>0</v>
      </c>
      <c r="O114" s="90">
        <f t="shared" si="6"/>
        <v>0</v>
      </c>
      <c r="P114" s="91">
        <f t="shared" si="6"/>
        <v>0</v>
      </c>
      <c r="Q114" s="102">
        <f t="shared" si="6"/>
        <v>0</v>
      </c>
      <c r="R114" s="90">
        <f t="shared" si="6"/>
        <v>0</v>
      </c>
      <c r="S114" s="90">
        <f t="shared" si="6"/>
        <v>0</v>
      </c>
      <c r="T114" s="90">
        <f t="shared" si="6"/>
        <v>0</v>
      </c>
      <c r="U114" s="91">
        <f t="shared" si="6"/>
        <v>0</v>
      </c>
      <c r="V114" s="102">
        <f t="shared" si="6"/>
        <v>0</v>
      </c>
      <c r="W114" s="90">
        <f t="shared" si="6"/>
        <v>0</v>
      </c>
      <c r="X114" s="90">
        <f t="shared" si="6"/>
        <v>0</v>
      </c>
      <c r="Y114" s="90">
        <f t="shared" si="6"/>
        <v>0</v>
      </c>
      <c r="Z114" s="91">
        <f t="shared" si="6"/>
        <v>0</v>
      </c>
      <c r="AA114" s="102">
        <f t="shared" si="6"/>
        <v>0</v>
      </c>
      <c r="AB114" s="90">
        <f t="shared" si="6"/>
        <v>0</v>
      </c>
      <c r="AC114" s="90">
        <f t="shared" si="6"/>
        <v>0</v>
      </c>
      <c r="AD114" s="90">
        <f t="shared" si="6"/>
        <v>0</v>
      </c>
      <c r="AE114" s="91">
        <f t="shared" si="6"/>
        <v>0</v>
      </c>
      <c r="AF114" s="92">
        <f>SUM(AF64:AF113)</f>
        <v>0</v>
      </c>
      <c r="AG114" s="93">
        <f>SUM(AG64:AG113)</f>
        <v>0</v>
      </c>
      <c r="AH114" s="103"/>
      <c r="AI114" s="104"/>
      <c r="AJ114" s="104"/>
      <c r="AK114" s="104"/>
      <c r="AL114" s="104"/>
      <c r="AM114" s="105"/>
      <c r="AQ114" s="1"/>
    </row>
    <row r="115" ht="21.9" customHeight="1" spans="1:43" x14ac:dyDescent="0.25">
      <c r="A115" s="106" t="s">
        <v>43</v>
      </c>
      <c r="B115" s="106"/>
      <c r="C115" s="107"/>
      <c r="D115" s="107"/>
      <c r="E115" s="107"/>
      <c r="F115" s="107"/>
      <c r="G115" s="108">
        <f t="shared" ref="G115:AE115" si="7">IF(G10="","",G63+G114)</f>
      </c>
      <c r="H115" s="109">
        <f t="shared" si="7"/>
      </c>
      <c r="I115" s="109">
        <f t="shared" si="7"/>
        <v>0</v>
      </c>
      <c r="J115" s="109">
        <f t="shared" si="7"/>
        <v>0</v>
      </c>
      <c r="K115" s="110">
        <f t="shared" si="7"/>
        <v>0</v>
      </c>
      <c r="L115" s="108">
        <f t="shared" si="7"/>
        <v>0</v>
      </c>
      <c r="M115" s="109">
        <f t="shared" si="7"/>
        <v>0</v>
      </c>
      <c r="N115" s="109">
        <f t="shared" si="7"/>
        <v>0</v>
      </c>
      <c r="O115" s="109">
        <f t="shared" si="7"/>
        <v>0</v>
      </c>
      <c r="P115" s="110">
        <f t="shared" si="7"/>
        <v>0</v>
      </c>
      <c r="Q115" s="108">
        <f t="shared" si="7"/>
        <v>0</v>
      </c>
      <c r="R115" s="109">
        <f t="shared" si="7"/>
        <v>0</v>
      </c>
      <c r="S115" s="109">
        <f t="shared" si="7"/>
        <v>0</v>
      </c>
      <c r="T115" s="109">
        <f t="shared" si="7"/>
        <v>0</v>
      </c>
      <c r="U115" s="110">
        <f t="shared" si="7"/>
        <v>0</v>
      </c>
      <c r="V115" s="108">
        <f t="shared" si="7"/>
        <v>0</v>
      </c>
      <c r="W115" s="109">
        <f t="shared" si="7"/>
        <v>0</v>
      </c>
      <c r="X115" s="109">
        <f t="shared" si="7"/>
        <v>0</v>
      </c>
      <c r="Y115" s="109">
        <f t="shared" si="7"/>
        <v>0</v>
      </c>
      <c r="Z115" s="110">
        <f t="shared" si="7"/>
        <v>0</v>
      </c>
      <c r="AA115" s="108">
        <f t="shared" si="7"/>
        <v>0</v>
      </c>
      <c r="AB115" s="109">
        <f t="shared" si="7"/>
        <v>0</v>
      </c>
      <c r="AC115" s="109">
        <f t="shared" si="7"/>
        <v>0</v>
      </c>
      <c r="AD115" s="109">
        <f t="shared" si="7"/>
        <v>0</v>
      </c>
      <c r="AE115" s="110">
        <f t="shared" si="7"/>
        <v>0</v>
      </c>
      <c r="AF115" s="111">
        <f>AF63+AF114</f>
        <v>0</v>
      </c>
      <c r="AG115" s="112">
        <f>AG63+AG114</f>
        <v>0</v>
      </c>
      <c r="AH115" s="113"/>
      <c r="AI115" s="114"/>
      <c r="AJ115" s="114"/>
      <c r="AK115" s="114"/>
      <c r="AL115" s="114"/>
      <c r="AM115" s="115"/>
      <c r="AQ115" s="1"/>
    </row>
    <row r="116" ht="6.75" customHeight="1" spans="1:43" x14ac:dyDescent="0.25">
      <c r="A116" s="116"/>
      <c r="B116" s="116"/>
      <c r="C116" s="116"/>
      <c r="D116" s="116"/>
      <c r="E116" s="116"/>
      <c r="F116" s="116"/>
      <c r="G116" s="117"/>
      <c r="H116" s="117"/>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18" t="s">
        <v>44</v>
      </c>
      <c r="B117" s="119"/>
      <c r="C117" s="119"/>
      <c r="D117" s="119"/>
      <c r="E117" s="119"/>
      <c r="F117" s="119"/>
      <c r="G117" s="120"/>
      <c r="H117" s="120"/>
      <c r="I117" s="120"/>
      <c r="J117" s="120"/>
      <c r="K117" s="120"/>
      <c r="L117" s="120"/>
      <c r="M117" s="120"/>
      <c r="N117" s="120"/>
      <c r="O117" s="120"/>
      <c r="P117" s="120"/>
      <c r="Q117" s="120"/>
      <c r="R117" s="120"/>
      <c r="S117" s="121"/>
      <c r="T117" s="122" t="s">
        <v>45</v>
      </c>
      <c r="U117" s="123"/>
      <c r="V117" s="123"/>
      <c r="W117" s="123"/>
      <c r="X117" s="123"/>
      <c r="Y117" s="124"/>
      <c r="Z117" s="124"/>
      <c r="AA117" s="124"/>
      <c r="AB117" s="125"/>
      <c r="AC117" s="126"/>
      <c r="AD117" s="1"/>
      <c r="AE117" s="127" t="s">
        <v>46</v>
      </c>
      <c r="AF117" s="128"/>
      <c r="AG117" s="129">
        <f>AA6</f>
        <v>NaN</v>
      </c>
      <c r="AH117" s="130" t="s">
        <v>47</v>
      </c>
      <c r="AI117" s="131"/>
      <c r="AJ117" s="132">
        <f>AQ9</f>
        <v>23</v>
      </c>
      <c r="AK117" s="133" t="s">
        <v>48</v>
      </c>
      <c r="AL117" s="133"/>
      <c r="AM117" s="134"/>
      <c r="AQ117" s="1"/>
    </row>
    <row r="118" ht="15" customHeight="1" spans="1:43" x14ac:dyDescent="0.25">
      <c r="A118" s="135" t="s">
        <v>49</v>
      </c>
      <c r="B118" s="135"/>
      <c r="C118" s="135"/>
      <c r="D118" s="135"/>
      <c r="E118" s="135"/>
      <c r="F118" s="135"/>
      <c r="G118" s="135"/>
      <c r="H118" s="135"/>
      <c r="I118" s="1"/>
      <c r="J118" s="1"/>
      <c r="K118" s="1"/>
      <c r="L118" s="1"/>
      <c r="M118" s="1"/>
      <c r="N118" s="1"/>
      <c r="O118" s="1"/>
      <c r="P118" s="1"/>
      <c r="Q118" s="1"/>
      <c r="R118" s="120"/>
      <c r="S118" s="121"/>
      <c r="T118" s="136" t="s">
        <v>50</v>
      </c>
      <c r="U118" s="1"/>
      <c r="V118" s="1"/>
      <c r="W118" s="1"/>
      <c r="X118" s="1"/>
      <c r="Y118" s="1"/>
      <c r="Z118" s="1"/>
      <c r="AA118" s="1"/>
      <c r="AB118" s="1"/>
      <c r="AC118" s="138"/>
      <c r="AD118" s="1"/>
      <c r="AE118" s="1"/>
      <c r="AF118" s="140"/>
      <c r="AG118" s="141"/>
      <c r="AH118" s="142"/>
      <c r="AI118" s="143"/>
      <c r="AJ118" s="144"/>
      <c r="AK118" s="145" t="s">
        <v>16</v>
      </c>
      <c r="AL118" s="146" t="s">
        <v>20</v>
      </c>
      <c r="AM118" s="147" t="s">
        <v>51</v>
      </c>
      <c r="AQ118" s="1"/>
    </row>
    <row r="119" ht="15.5" customHeight="1" spans="1:43" x14ac:dyDescent="0.25">
      <c r="A119" s="135" t="s">
        <v>52</v>
      </c>
      <c r="B119" s="135"/>
      <c r="C119" s="135"/>
      <c r="D119" s="135"/>
      <c r="E119" s="135"/>
      <c r="F119" s="135"/>
      <c r="G119" s="135"/>
      <c r="H119" s="135"/>
      <c r="I119" s="1"/>
      <c r="J119" s="1"/>
      <c r="K119" s="1"/>
      <c r="L119" s="1"/>
      <c r="M119" s="1"/>
      <c r="N119" s="1"/>
      <c r="O119" s="1"/>
      <c r="P119" s="1"/>
      <c r="Q119" s="1"/>
      <c r="R119" s="120"/>
      <c r="S119" s="121"/>
      <c r="T119" s="1"/>
      <c r="U119" s="1"/>
      <c r="V119" s="1"/>
      <c r="W119" s="1"/>
      <c r="X119" s="1"/>
      <c r="Y119" s="1"/>
      <c r="Z119" s="1"/>
      <c r="AA119" s="1"/>
      <c r="AB119" s="1"/>
      <c r="AC119" s="138"/>
      <c r="AD119" s="1"/>
      <c r="AE119" s="149" t="s">
        <v>53</v>
      </c>
      <c r="AF119" s="150"/>
      <c r="AG119" s="150"/>
      <c r="AH119" s="150"/>
      <c r="AI119" s="150"/>
      <c r="AJ119" s="151"/>
      <c r="AK119" s="152"/>
      <c r="AL119" s="152"/>
      <c r="AM119" s="153">
        <f>AK119+AL119</f>
        <v>0</v>
      </c>
      <c r="AQ119" s="1"/>
    </row>
    <row r="120" ht="15.75" customHeight="1" spans="1:43" x14ac:dyDescent="0.25">
      <c r="A120" s="135" t="s">
        <v>54</v>
      </c>
      <c r="B120" s="135"/>
      <c r="C120" s="135"/>
      <c r="D120" s="135"/>
      <c r="E120" s="135"/>
      <c r="F120" s="135"/>
      <c r="G120" s="135"/>
      <c r="H120" s="135"/>
      <c r="I120" s="1"/>
      <c r="J120" s="1"/>
      <c r="K120" s="1"/>
      <c r="L120" s="1"/>
      <c r="M120" s="1"/>
      <c r="N120" s="1"/>
      <c r="O120" s="1"/>
      <c r="P120" s="1"/>
      <c r="Q120" s="1"/>
      <c r="R120" s="120"/>
      <c r="S120" s="121"/>
      <c r="T120" s="1"/>
      <c r="U120" s="1"/>
      <c r="V120" s="1"/>
      <c r="W120" s="1"/>
      <c r="X120" s="1"/>
      <c r="Y120" s="1"/>
      <c r="Z120" s="1"/>
      <c r="AA120" s="1"/>
      <c r="AB120" s="1"/>
      <c r="AC120" s="138"/>
      <c r="AD120" s="1"/>
      <c r="AE120" s="1"/>
      <c r="AF120" s="155"/>
      <c r="AG120" s="155"/>
      <c r="AH120" s="155"/>
      <c r="AI120" s="155"/>
      <c r="AJ120" s="156"/>
      <c r="AK120" s="31"/>
      <c r="AL120" s="31"/>
      <c r="AM120" s="157"/>
      <c r="AQ120" s="1"/>
    </row>
    <row r="121" ht="15.75" customHeight="1" spans="1:43" x14ac:dyDescent="0.25">
      <c r="A121" s="158" t="s">
        <v>55</v>
      </c>
      <c r="B121" s="159" t="s">
        <v>56</v>
      </c>
      <c r="C121" s="159"/>
      <c r="D121" s="159"/>
      <c r="E121" s="159"/>
      <c r="F121" s="159"/>
      <c r="G121" s="160" t="s">
        <v>57</v>
      </c>
      <c r="H121" s="160"/>
      <c r="I121" s="1"/>
      <c r="J121" s="1"/>
      <c r="K121" s="1"/>
      <c r="L121" s="1"/>
      <c r="M121" s="1"/>
      <c r="N121" s="1"/>
      <c r="O121" s="1"/>
      <c r="P121" s="1"/>
      <c r="Q121" s="161" t="s">
        <v>58</v>
      </c>
      <c r="R121" s="1"/>
      <c r="S121" s="121"/>
      <c r="T121" s="162" t="s">
        <v>59</v>
      </c>
      <c r="U121" s="1"/>
      <c r="V121" s="1"/>
      <c r="W121" s="1"/>
      <c r="X121" s="1"/>
      <c r="Y121" s="3"/>
      <c r="Z121" s="1"/>
      <c r="AA121" s="1"/>
      <c r="AB121" s="163"/>
      <c r="AC121" s="138"/>
      <c r="AD121" s="1"/>
      <c r="AE121" s="164" t="s">
        <v>60</v>
      </c>
      <c r="AF121" s="165"/>
      <c r="AG121" s="165"/>
      <c r="AH121" s="165"/>
      <c r="AI121" s="165"/>
      <c r="AJ121" s="165"/>
      <c r="AK121" s="166">
        <v>0</v>
      </c>
      <c r="AL121" s="166">
        <v>0</v>
      </c>
      <c r="AM121" s="167">
        <f>AK121+AL121</f>
        <v>0</v>
      </c>
      <c r="AQ121" s="1"/>
    </row>
    <row r="122" ht="15.75" customHeight="1" spans="1:43" x14ac:dyDescent="0.25">
      <c r="A122" s="158"/>
      <c r="B122" s="159"/>
      <c r="C122" s="159"/>
      <c r="D122" s="159"/>
      <c r="E122" s="159"/>
      <c r="F122" s="159"/>
      <c r="G122" s="168" t="s">
        <v>61</v>
      </c>
      <c r="H122" s="168"/>
      <c r="I122" s="1"/>
      <c r="J122" s="1"/>
      <c r="K122" s="1"/>
      <c r="L122" s="1"/>
      <c r="M122" s="1"/>
      <c r="N122" s="1"/>
      <c r="O122" s="1"/>
      <c r="P122" s="1"/>
      <c r="Q122" s="1"/>
      <c r="R122" s="1"/>
      <c r="S122" s="121"/>
      <c r="T122" s="162" t="s">
        <v>62</v>
      </c>
      <c r="U122" s="3"/>
      <c r="V122" s="3"/>
      <c r="W122" s="3"/>
      <c r="X122" s="3"/>
      <c r="Y122" s="3"/>
      <c r="Z122" s="1"/>
      <c r="AA122" s="1"/>
      <c r="AB122" s="163"/>
      <c r="AC122" s="138"/>
      <c r="AD122" s="1"/>
      <c r="AE122" s="1"/>
      <c r="AF122" s="165"/>
      <c r="AG122" s="165"/>
      <c r="AH122" s="165"/>
      <c r="AI122" s="165"/>
      <c r="AJ122" s="165"/>
      <c r="AK122" s="166"/>
      <c r="AL122" s="166"/>
      <c r="AM122" s="167"/>
      <c r="AQ122" s="1"/>
    </row>
    <row r="123" ht="18" customHeight="1" spans="1:43" x14ac:dyDescent="0.25">
      <c r="A123" s="158" t="s">
        <v>63</v>
      </c>
      <c r="B123" s="169" t="s">
        <v>64</v>
      </c>
      <c r="C123" s="169"/>
      <c r="D123" s="169"/>
      <c r="E123" s="169"/>
      <c r="F123" s="169"/>
      <c r="G123" s="170" t="s">
        <v>65</v>
      </c>
      <c r="H123" s="170"/>
      <c r="I123" s="1"/>
      <c r="J123" s="1"/>
      <c r="K123" s="1"/>
      <c r="L123" s="1"/>
      <c r="M123" s="1"/>
      <c r="N123" s="1"/>
      <c r="O123" s="1"/>
      <c r="P123" s="1"/>
      <c r="Q123" s="171"/>
      <c r="R123" s="120"/>
      <c r="S123" s="121"/>
      <c r="T123" s="172" t="s">
        <v>66</v>
      </c>
      <c r="U123" s="3"/>
      <c r="V123" s="3"/>
      <c r="W123" s="3"/>
      <c r="X123" s="3"/>
      <c r="Y123" s="3"/>
      <c r="Z123" s="1"/>
      <c r="AA123" s="1"/>
      <c r="AB123" s="163"/>
      <c r="AC123" s="138"/>
      <c r="AD123" s="1"/>
      <c r="AE123" s="164" t="s">
        <v>67</v>
      </c>
      <c r="AF123" s="165"/>
      <c r="AG123" s="165"/>
      <c r="AH123" s="165"/>
      <c r="AI123" s="165"/>
      <c r="AJ123" s="165"/>
      <c r="AK123" s="173">
        <f>COUNTA($B$13:$B$62)</f>
        <v>0</v>
      </c>
      <c r="AL123" s="173">
        <f>COUNTA($B$64:$B$113)</f>
        <v>0</v>
      </c>
      <c r="AM123" s="153">
        <f>AK123+AL123</f>
        <v>0</v>
      </c>
      <c r="AQ123" s="1"/>
    </row>
    <row r="124" ht="14.25" customHeight="1" spans="1:43" x14ac:dyDescent="0.25">
      <c r="A124" s="158"/>
      <c r="B124" s="169"/>
      <c r="C124" s="169"/>
      <c r="D124" s="169"/>
      <c r="E124" s="169"/>
      <c r="F124" s="169"/>
      <c r="G124" s="168" t="s">
        <v>68</v>
      </c>
      <c r="H124" s="168"/>
      <c r="I124" s="1"/>
      <c r="J124" s="1"/>
      <c r="K124" s="1"/>
      <c r="L124" s="1"/>
      <c r="M124" s="1"/>
      <c r="N124" s="1"/>
      <c r="O124" s="1"/>
      <c r="P124" s="1"/>
      <c r="Q124" s="120"/>
      <c r="R124" s="120"/>
      <c r="S124" s="121"/>
      <c r="T124" s="172" t="s">
        <v>69</v>
      </c>
      <c r="U124" s="1"/>
      <c r="V124" s="1"/>
      <c r="W124" s="1"/>
      <c r="X124" s="1"/>
      <c r="Y124" s="3"/>
      <c r="Z124" s="1"/>
      <c r="AA124" s="1"/>
      <c r="AB124" s="163"/>
      <c r="AC124" s="138"/>
      <c r="AD124" s="1"/>
      <c r="AE124" s="1"/>
      <c r="AF124" s="165"/>
      <c r="AG124" s="165"/>
      <c r="AH124" s="165"/>
      <c r="AI124" s="165"/>
      <c r="AJ124" s="165"/>
      <c r="AK124" s="174"/>
      <c r="AL124" s="174"/>
      <c r="AM124" s="157"/>
      <c r="AQ124" s="1"/>
    </row>
    <row r="125" ht="15.75" customHeight="1" spans="1:43" x14ac:dyDescent="0.25">
      <c r="A125" s="175" t="s">
        <v>70</v>
      </c>
      <c r="B125" s="159" t="s">
        <v>71</v>
      </c>
      <c r="C125" s="159"/>
      <c r="D125" s="159"/>
      <c r="E125" s="159"/>
      <c r="F125" s="159"/>
      <c r="G125" s="160" t="s">
        <v>72</v>
      </c>
      <c r="H125" s="160"/>
      <c r="I125" s="1"/>
      <c r="J125" s="1"/>
      <c r="K125" s="1"/>
      <c r="L125" s="1"/>
      <c r="M125" s="1"/>
      <c r="N125" s="1"/>
      <c r="O125" s="1"/>
      <c r="P125" s="1"/>
      <c r="Q125" s="161" t="s">
        <v>58</v>
      </c>
      <c r="R125" s="1"/>
      <c r="S125" s="121"/>
      <c r="T125" s="172" t="s">
        <v>73</v>
      </c>
      <c r="U125" s="1"/>
      <c r="V125" s="1"/>
      <c r="W125" s="1"/>
      <c r="X125" s="1"/>
      <c r="Y125" s="1"/>
      <c r="Z125" s="1"/>
      <c r="AA125" s="1"/>
      <c r="AB125" s="163"/>
      <c r="AC125" s="138"/>
      <c r="AD125" s="1"/>
      <c r="AE125" s="176" t="s">
        <v>74</v>
      </c>
      <c r="AF125" s="177"/>
      <c r="AG125" s="177"/>
      <c r="AH125" s="177"/>
      <c r="AI125" s="177"/>
      <c r="AJ125" s="177"/>
      <c r="AK125" s="178" t="e">
        <f>AK123/AK119</f>
        <v>#DIV/0!</v>
      </c>
      <c r="AL125" s="178" t="e">
        <f>AL123/AL119</f>
        <v>#DIV/0!</v>
      </c>
      <c r="AM125" s="179" t="e">
        <f>AM123/AM119</f>
        <v>#DIV/0!</v>
      </c>
      <c r="AQ125" s="1"/>
    </row>
    <row r="126" ht="19.5" customHeight="1" spans="1:43" x14ac:dyDescent="0.25">
      <c r="A126" s="175"/>
      <c r="B126" s="159"/>
      <c r="C126" s="159"/>
      <c r="D126" s="159"/>
      <c r="E126" s="159"/>
      <c r="F126" s="159"/>
      <c r="G126" s="161" t="s">
        <v>75</v>
      </c>
      <c r="H126" s="161"/>
      <c r="I126" s="1"/>
      <c r="J126" s="1"/>
      <c r="K126" s="1"/>
      <c r="L126" s="1"/>
      <c r="M126" s="1"/>
      <c r="N126" s="1"/>
      <c r="O126" s="1"/>
      <c r="P126" s="1"/>
      <c r="Q126" s="1"/>
      <c r="R126" s="1"/>
      <c r="S126" s="121"/>
      <c r="T126" s="172" t="s">
        <v>76</v>
      </c>
      <c r="U126" s="1"/>
      <c r="V126" s="1"/>
      <c r="W126" s="1"/>
      <c r="X126" s="1"/>
      <c r="Y126" s="1"/>
      <c r="Z126" s="1"/>
      <c r="AA126" s="1"/>
      <c r="AB126" s="163"/>
      <c r="AC126" s="138"/>
      <c r="AD126" s="1"/>
      <c r="AE126" s="1"/>
      <c r="AF126" s="177"/>
      <c r="AG126" s="177"/>
      <c r="AH126" s="177"/>
      <c r="AI126" s="177"/>
      <c r="AJ126" s="177"/>
      <c r="AK126" s="180"/>
      <c r="AL126" s="180"/>
      <c r="AM126" s="181"/>
      <c r="AQ126" s="1"/>
    </row>
    <row r="127" ht="26.25" customHeight="1" spans="1:43" x14ac:dyDescent="0.25">
      <c r="A127" s="135"/>
      <c r="B127" s="135"/>
      <c r="C127" s="135"/>
      <c r="D127" s="135"/>
      <c r="E127" s="135"/>
      <c r="F127" s="135"/>
      <c r="G127" s="135"/>
      <c r="H127" s="135"/>
      <c r="I127" s="1"/>
      <c r="J127" s="1"/>
      <c r="K127" s="1"/>
      <c r="L127" s="1"/>
      <c r="M127" s="1"/>
      <c r="N127" s="1"/>
      <c r="O127" s="1"/>
      <c r="P127" s="161"/>
      <c r="Q127" s="161"/>
      <c r="R127" s="120"/>
      <c r="S127" s="121"/>
      <c r="T127" s="162" t="s">
        <v>77</v>
      </c>
      <c r="U127" s="1"/>
      <c r="V127" s="1"/>
      <c r="W127" s="1"/>
      <c r="X127" s="1"/>
      <c r="Y127" s="1"/>
      <c r="Z127" s="1"/>
      <c r="AA127" s="1"/>
      <c r="AB127" s="3"/>
      <c r="AC127" s="138"/>
      <c r="AD127" s="1"/>
      <c r="AE127" s="182" t="s">
        <v>78</v>
      </c>
      <c r="AF127" s="183"/>
      <c r="AG127" s="183"/>
      <c r="AH127" s="183"/>
      <c r="AI127" s="183"/>
      <c r="AJ127" s="183"/>
      <c r="AK127" s="184">
        <f>AG63/AJ117</f>
        <v>0</v>
      </c>
      <c r="AL127" s="184">
        <f>AG114/AJ117</f>
        <v>0</v>
      </c>
      <c r="AM127" s="185">
        <f>AG115/AJ117</f>
        <v>0</v>
      </c>
      <c r="AQ127" s="1"/>
    </row>
    <row r="128" ht="16.5" customHeight="1" spans="1:43" x14ac:dyDescent="0.25">
      <c r="A128" s="186" t="s">
        <v>79</v>
      </c>
      <c r="B128" s="186"/>
      <c r="C128" s="186"/>
      <c r="D128" s="186"/>
      <c r="E128" s="186"/>
      <c r="F128" s="186"/>
      <c r="G128" s="186"/>
      <c r="H128" s="186"/>
      <c r="I128" s="1"/>
      <c r="J128" s="1"/>
      <c r="K128" s="1"/>
      <c r="L128" s="1"/>
      <c r="M128" s="1"/>
      <c r="N128" s="1"/>
      <c r="O128" s="1"/>
      <c r="P128" s="1"/>
      <c r="Q128" s="1"/>
      <c r="R128" s="171"/>
      <c r="S128" s="121"/>
      <c r="T128" s="172" t="s">
        <v>80</v>
      </c>
      <c r="U128" s="1"/>
      <c r="V128" s="1"/>
      <c r="W128" s="1"/>
      <c r="X128" s="1"/>
      <c r="Y128" s="1"/>
      <c r="Z128" s="1"/>
      <c r="AA128" s="1"/>
      <c r="AB128" s="163"/>
      <c r="AC128" s="138"/>
      <c r="AD128" s="1"/>
      <c r="AE128" s="164" t="s">
        <v>81</v>
      </c>
      <c r="AF128" s="165"/>
      <c r="AG128" s="165"/>
      <c r="AH128" s="165"/>
      <c r="AI128" s="165"/>
      <c r="AJ128" s="165"/>
      <c r="AK128" s="187" t="e">
        <f>AK127/AK123</f>
        <v>#DIV/0!</v>
      </c>
      <c r="AL128" s="187" t="e">
        <f>AL127/AL123</f>
        <v>#DIV/0!</v>
      </c>
      <c r="AM128" s="188" t="e">
        <f>AM127/AM123</f>
        <v>#DIV/0!</v>
      </c>
      <c r="AQ128" s="1"/>
    </row>
    <row r="129" ht="15.75" customHeight="1" spans="1:43" x14ac:dyDescent="0.25">
      <c r="A129" s="186"/>
      <c r="B129" s="186"/>
      <c r="C129" s="186"/>
      <c r="D129" s="186"/>
      <c r="E129" s="186"/>
      <c r="F129" s="186"/>
      <c r="G129" s="186"/>
      <c r="H129" s="186"/>
      <c r="I129" s="1"/>
      <c r="J129" s="1"/>
      <c r="K129" s="1"/>
      <c r="L129" s="1"/>
      <c r="M129" s="1"/>
      <c r="N129" s="1"/>
      <c r="O129" s="1"/>
      <c r="P129" s="1"/>
      <c r="Q129" s="1"/>
      <c r="R129" s="171"/>
      <c r="S129" s="121"/>
      <c r="T129" s="172" t="s">
        <v>82</v>
      </c>
      <c r="U129" s="1"/>
      <c r="V129" s="1"/>
      <c r="W129" s="1"/>
      <c r="X129" s="1"/>
      <c r="Y129" s="1"/>
      <c r="Z129" s="1"/>
      <c r="AA129" s="1"/>
      <c r="AB129" s="163"/>
      <c r="AC129" s="138"/>
      <c r="AD129" s="1"/>
      <c r="AE129" s="1"/>
      <c r="AF129" s="165"/>
      <c r="AG129" s="165"/>
      <c r="AH129" s="165"/>
      <c r="AI129" s="165"/>
      <c r="AJ129" s="165"/>
      <c r="AK129" s="174"/>
      <c r="AL129" s="187"/>
      <c r="AM129" s="188"/>
      <c r="AQ129" s="1"/>
    </row>
    <row r="130" ht="15.75" customHeight="1" spans="1:43" x14ac:dyDescent="0.25">
      <c r="A130" s="189" t="s">
        <v>83</v>
      </c>
      <c r="B130" s="189"/>
      <c r="C130" s="189"/>
      <c r="D130" s="189"/>
      <c r="E130" s="189"/>
      <c r="F130" s="189"/>
      <c r="G130" s="189"/>
      <c r="H130" s="189"/>
      <c r="I130" s="1"/>
      <c r="J130" s="1"/>
      <c r="K130" s="1"/>
      <c r="L130" s="1"/>
      <c r="M130" s="1"/>
      <c r="N130" s="1"/>
      <c r="O130" s="1"/>
      <c r="P130" s="1"/>
      <c r="Q130" s="1"/>
      <c r="R130" s="1"/>
      <c r="S130" s="121"/>
      <c r="T130" s="172" t="s">
        <v>84</v>
      </c>
      <c r="U130" s="1"/>
      <c r="V130" s="1"/>
      <c r="W130" s="1"/>
      <c r="X130" s="1"/>
      <c r="Y130" s="1"/>
      <c r="Z130" s="1"/>
      <c r="AA130" s="1"/>
      <c r="AB130" s="163"/>
      <c r="AC130" s="138"/>
      <c r="AD130" s="190"/>
      <c r="AE130" s="164" t="s">
        <v>85</v>
      </c>
      <c r="AF130" s="165"/>
      <c r="AG130" s="165"/>
      <c r="AH130" s="165"/>
      <c r="AI130" s="165"/>
      <c r="AJ130" s="165"/>
      <c r="AK130" s="191">
        <v>0</v>
      </c>
      <c r="AL130" s="191">
        <v>0</v>
      </c>
      <c r="AM130" s="192">
        <f>AK130+AL130</f>
        <v>0</v>
      </c>
      <c r="AQ130" s="1"/>
    </row>
    <row r="131" ht="16.5" customHeight="1" spans="1:43" x14ac:dyDescent="0.25">
      <c r="A131" s="189"/>
      <c r="B131" s="189"/>
      <c r="C131" s="189"/>
      <c r="D131" s="189"/>
      <c r="E131" s="189"/>
      <c r="F131" s="189"/>
      <c r="G131" s="189"/>
      <c r="H131" s="189"/>
      <c r="I131" s="1"/>
      <c r="J131" s="1"/>
      <c r="K131" s="1"/>
      <c r="L131" s="1"/>
      <c r="M131" s="1"/>
      <c r="N131" s="1"/>
      <c r="O131" s="1"/>
      <c r="P131" s="1"/>
      <c r="Q131" s="1"/>
      <c r="R131" s="1"/>
      <c r="S131" s="121"/>
      <c r="T131" s="172" t="s">
        <v>86</v>
      </c>
      <c r="U131" s="1"/>
      <c r="V131" s="1"/>
      <c r="W131" s="1"/>
      <c r="X131" s="1"/>
      <c r="Y131" s="1"/>
      <c r="Z131" s="1"/>
      <c r="AA131" s="1"/>
      <c r="AB131" s="3"/>
      <c r="AC131" s="138"/>
      <c r="AD131" s="1"/>
      <c r="AE131" s="1"/>
      <c r="AF131" s="165"/>
      <c r="AG131" s="165"/>
      <c r="AH131" s="165"/>
      <c r="AI131" s="165"/>
      <c r="AJ131" s="165"/>
      <c r="AK131" s="152"/>
      <c r="AL131" s="152"/>
      <c r="AM131" s="153"/>
      <c r="AQ131" s="1"/>
    </row>
    <row r="132" ht="14.25" customHeight="1" spans="1:43" x14ac:dyDescent="0.25">
      <c r="A132" s="120" t="s">
        <v>87</v>
      </c>
      <c r="B132" s="186"/>
      <c r="C132" s="186"/>
      <c r="D132" s="186"/>
      <c r="E132" s="186"/>
      <c r="F132" s="186"/>
      <c r="G132" s="193"/>
      <c r="H132" s="193"/>
      <c r="I132" s="193"/>
      <c r="J132" s="193"/>
      <c r="K132" s="193"/>
      <c r="L132" s="193"/>
      <c r="M132" s="193"/>
      <c r="N132" s="193"/>
      <c r="O132" s="193"/>
      <c r="P132" s="193"/>
      <c r="Q132" s="193"/>
      <c r="R132" s="171"/>
      <c r="S132" s="121"/>
      <c r="T132" s="172" t="s">
        <v>88</v>
      </c>
      <c r="U132" s="1"/>
      <c r="V132" s="1"/>
      <c r="W132" s="1"/>
      <c r="X132" s="1"/>
      <c r="Y132" s="1"/>
      <c r="Z132" s="1"/>
      <c r="AA132" s="1"/>
      <c r="AB132" s="163"/>
      <c r="AC132" s="138"/>
      <c r="AD132" s="1"/>
      <c r="AE132" s="194" t="s">
        <v>89</v>
      </c>
      <c r="AF132" s="195"/>
      <c r="AG132" s="195"/>
      <c r="AH132" s="195"/>
      <c r="AI132" s="195"/>
      <c r="AJ132" s="195"/>
      <c r="AK132" s="196">
        <f>COUNTIF(AH13:AI62,"NLS")</f>
        <v>0</v>
      </c>
      <c r="AL132" s="196">
        <f>COUNTIF(AH64:AI113,"NLS")</f>
        <v>0</v>
      </c>
      <c r="AM132" s="167">
        <f>AK132+AL132</f>
        <v>0</v>
      </c>
      <c r="AQ132" s="1"/>
    </row>
    <row r="133" ht="15.75" customHeight="1" spans="1:43" x14ac:dyDescent="0.25">
      <c r="A133" s="158" t="s">
        <v>90</v>
      </c>
      <c r="B133" s="189" t="s">
        <v>91</v>
      </c>
      <c r="C133" s="189"/>
      <c r="D133" s="189"/>
      <c r="E133" s="189"/>
      <c r="F133" s="189"/>
      <c r="G133" s="189"/>
      <c r="H133" s="189"/>
      <c r="I133" s="1"/>
      <c r="J133" s="1"/>
      <c r="K133" s="1"/>
      <c r="L133" s="1"/>
      <c r="M133" s="1"/>
      <c r="N133" s="1"/>
      <c r="O133" s="1"/>
      <c r="P133" s="1"/>
      <c r="Q133" s="1"/>
      <c r="R133" s="120"/>
      <c r="S133" s="121"/>
      <c r="T133" s="172" t="s">
        <v>92</v>
      </c>
      <c r="U133" s="1"/>
      <c r="V133" s="1"/>
      <c r="W133" s="1"/>
      <c r="X133" s="1"/>
      <c r="Y133" s="1"/>
      <c r="Z133" s="1"/>
      <c r="AA133" s="1"/>
      <c r="AB133" s="3"/>
      <c r="AC133" s="138"/>
      <c r="AD133" s="1"/>
      <c r="AE133" s="1"/>
      <c r="AF133" s="195"/>
      <c r="AG133" s="195"/>
      <c r="AH133" s="195"/>
      <c r="AI133" s="195"/>
      <c r="AJ133" s="195"/>
      <c r="AK133" s="196"/>
      <c r="AL133" s="196"/>
      <c r="AM133" s="167"/>
      <c r="AQ133" s="1"/>
    </row>
    <row r="134" ht="15.75" customHeight="1" spans="7:43" x14ac:dyDescent="0.25">
      <c r="G134" s="119"/>
      <c r="H134" s="119"/>
      <c r="I134" s="119"/>
      <c r="J134" s="119"/>
      <c r="K134" s="197"/>
      <c r="L134" s="197"/>
      <c r="M134" s="197"/>
      <c r="N134" s="197"/>
      <c r="O134" s="1"/>
      <c r="P134" s="1"/>
      <c r="Q134" s="1"/>
      <c r="R134" s="1"/>
      <c r="S134" s="121"/>
      <c r="T134" s="172" t="s">
        <v>93</v>
      </c>
      <c r="U134" s="1"/>
      <c r="V134" s="1"/>
      <c r="W134" s="1"/>
      <c r="X134" s="1"/>
      <c r="Y134" s="1"/>
      <c r="Z134" s="1"/>
      <c r="AA134" s="1"/>
      <c r="AB134" s="1"/>
      <c r="AC134" s="138"/>
      <c r="AD134" s="1"/>
      <c r="AE134" s="194" t="s">
        <v>94</v>
      </c>
      <c r="AF134" s="195"/>
      <c r="AG134" s="195"/>
      <c r="AH134" s="195"/>
      <c r="AI134" s="195"/>
      <c r="AJ134" s="195"/>
      <c r="AK134" s="174">
        <f>COUNTIF(AH13:AI62,"Transferred Out")</f>
        <v>0</v>
      </c>
      <c r="AL134" s="174">
        <f>COUNTIF(AH64:AI113,"Transferred Out")</f>
        <v>0</v>
      </c>
      <c r="AM134" s="157">
        <f>AK134+AL134</f>
        <v>0</v>
      </c>
      <c r="AQ134" s="1"/>
    </row>
    <row r="135" ht="14.25" customHeight="1" spans="2:43" x14ac:dyDescent="0.25">
      <c r="B135" s="119"/>
      <c r="C135" s="119"/>
      <c r="D135" s="119"/>
      <c r="E135" s="119"/>
      <c r="F135" s="119"/>
      <c r="G135" s="119"/>
      <c r="H135" s="119"/>
      <c r="I135" s="119"/>
      <c r="J135" s="119"/>
      <c r="K135" s="1"/>
      <c r="L135" s="1"/>
      <c r="M135" s="1"/>
      <c r="N135" s="1"/>
      <c r="O135" s="1"/>
      <c r="P135" s="1"/>
      <c r="Q135" s="1"/>
      <c r="R135" s="1"/>
      <c r="S135" s="121"/>
      <c r="T135" s="162" t="s">
        <v>95</v>
      </c>
      <c r="U135" s="1"/>
      <c r="V135" s="1"/>
      <c r="W135" s="1"/>
      <c r="X135" s="1"/>
      <c r="Y135" s="1"/>
      <c r="Z135" s="163"/>
      <c r="AA135" s="163"/>
      <c r="AB135" s="163"/>
      <c r="AC135" s="138"/>
      <c r="AD135" s="1"/>
      <c r="AE135" s="1"/>
      <c r="AF135" s="195"/>
      <c r="AG135" s="195"/>
      <c r="AH135" s="195"/>
      <c r="AI135" s="195"/>
      <c r="AJ135" s="195"/>
      <c r="AK135" s="174"/>
      <c r="AL135" s="174"/>
      <c r="AM135" s="157"/>
      <c r="AQ135" s="1"/>
    </row>
    <row r="136" ht="15" customHeight="1" spans="2:43" x14ac:dyDescent="0.25">
      <c r="B136" s="198"/>
      <c r="C136" s="198"/>
      <c r="D136" s="198"/>
      <c r="E136" s="198"/>
      <c r="F136" s="198"/>
      <c r="G136" s="198"/>
      <c r="H136" s="198"/>
      <c r="I136" s="1"/>
      <c r="J136" s="1"/>
      <c r="K136" s="1"/>
      <c r="L136" s="1"/>
      <c r="M136" s="1"/>
      <c r="N136" s="1"/>
      <c r="O136" s="1"/>
      <c r="P136" s="1"/>
      <c r="Q136" s="1"/>
      <c r="R136" s="1"/>
      <c r="S136" s="121"/>
      <c r="T136" s="172" t="s">
        <v>96</v>
      </c>
      <c r="U136" s="1"/>
      <c r="V136" s="1"/>
      <c r="W136" s="1"/>
      <c r="X136" s="1"/>
      <c r="Y136" s="1"/>
      <c r="Z136" s="1"/>
      <c r="AA136" s="1"/>
      <c r="AB136" s="1"/>
      <c r="AC136" s="138"/>
      <c r="AD136" s="148"/>
      <c r="AE136" s="194" t="s">
        <v>97</v>
      </c>
      <c r="AF136" s="195"/>
      <c r="AG136" s="195"/>
      <c r="AH136" s="195"/>
      <c r="AI136" s="195"/>
      <c r="AJ136" s="195"/>
      <c r="AK136" s="174">
        <f>COUNTIF(AH13:AI62,"Transferred In")</f>
        <v>0</v>
      </c>
      <c r="AL136" s="174">
        <f>COUNTIF(AH64:AI113,"Transferred In")</f>
        <v>0</v>
      </c>
      <c r="AM136" s="157">
        <f>AK136+AL136</f>
        <v>0</v>
      </c>
      <c r="AQ136" s="1"/>
    </row>
    <row r="137" ht="15.75" customHeight="1" spans="2:43" x14ac:dyDescent="0.25">
      <c r="B137" s="198"/>
      <c r="C137" s="198"/>
      <c r="D137" s="198"/>
      <c r="E137" s="198"/>
      <c r="F137" s="198"/>
      <c r="G137" s="198"/>
      <c r="H137" s="198"/>
      <c r="I137" s="1"/>
      <c r="J137" s="1"/>
      <c r="K137" s="1"/>
      <c r="L137" s="1"/>
      <c r="M137" s="1"/>
      <c r="N137" s="1"/>
      <c r="O137" s="1"/>
      <c r="P137" s="1"/>
      <c r="Q137" s="1"/>
      <c r="R137" s="1"/>
      <c r="S137" s="121"/>
      <c r="T137" s="172" t="s">
        <v>98</v>
      </c>
      <c r="U137" s="1"/>
      <c r="V137" s="1"/>
      <c r="W137" s="1"/>
      <c r="X137" s="1"/>
      <c r="Y137" s="1"/>
      <c r="Z137" s="1"/>
      <c r="AA137" s="1"/>
      <c r="AB137" s="1"/>
      <c r="AC137" s="138"/>
      <c r="AD137" s="1"/>
      <c r="AE137" s="1"/>
      <c r="AF137" s="146"/>
      <c r="AG137" s="146"/>
      <c r="AH137" s="146"/>
      <c r="AI137" s="146"/>
      <c r="AJ137" s="146"/>
      <c r="AK137" s="200"/>
      <c r="AL137" s="200"/>
      <c r="AM137" s="201"/>
      <c r="AQ137" s="1"/>
    </row>
    <row r="138" ht="14.25" customHeight="1" spans="2:43" x14ac:dyDescent="0.25">
      <c r="B138" s="3"/>
      <c r="C138" s="3"/>
      <c r="D138" s="3"/>
      <c r="E138" s="3"/>
      <c r="F138" s="3"/>
      <c r="I138" s="1"/>
      <c r="J138" s="1"/>
      <c r="K138" s="1"/>
      <c r="L138" s="1"/>
      <c r="M138" s="1"/>
      <c r="N138" s="1"/>
      <c r="O138" s="1"/>
      <c r="P138" s="1"/>
      <c r="Q138" s="1"/>
      <c r="R138" s="1"/>
      <c r="S138" s="121"/>
      <c r="T138" s="172" t="s">
        <v>99</v>
      </c>
      <c r="U138" s="1"/>
      <c r="V138" s="1"/>
      <c r="W138" s="1"/>
      <c r="X138" s="1"/>
      <c r="Y138" s="1"/>
      <c r="Z138" s="1"/>
      <c r="AA138" s="1"/>
      <c r="AB138" s="1"/>
      <c r="AC138" s="138"/>
      <c r="AD138" s="1"/>
      <c r="AE138" s="1"/>
      <c r="AQ138" s="1"/>
    </row>
    <row r="139" spans="2:43" x14ac:dyDescent="0.25">
      <c r="B139" s="3"/>
      <c r="C139" s="3"/>
      <c r="D139" s="3"/>
      <c r="E139" s="3"/>
      <c r="F139" s="3"/>
      <c r="G139" s="3"/>
      <c r="H139" s="3"/>
      <c r="I139" s="3"/>
      <c r="J139" s="3"/>
      <c r="K139" s="1"/>
      <c r="L139" s="1"/>
      <c r="M139" s="1"/>
      <c r="N139" s="1"/>
      <c r="O139" s="1"/>
      <c r="P139" s="1"/>
      <c r="Q139" s="1"/>
      <c r="R139" s="1"/>
      <c r="S139" s="121"/>
      <c r="T139" s="162" t="s">
        <v>100</v>
      </c>
      <c r="U139" s="1"/>
      <c r="V139" s="1"/>
      <c r="W139" s="1"/>
      <c r="X139" s="1"/>
      <c r="Y139" s="1"/>
      <c r="Z139" s="1"/>
      <c r="AA139" s="1"/>
      <c r="AB139" s="1"/>
      <c r="AC139" s="138"/>
      <c r="AD139" s="1"/>
      <c r="AE139" s="202" t="s">
        <v>101</v>
      </c>
      <c r="AM139" s="203"/>
      <c r="AQ139" s="1"/>
    </row>
    <row r="140" spans="2:43" x14ac:dyDescent="0.25">
      <c r="B140" s="204"/>
      <c r="C140" s="204"/>
      <c r="D140" s="204"/>
      <c r="E140" s="204"/>
      <c r="F140" s="204"/>
      <c r="G140" s="3"/>
      <c r="H140" s="3"/>
      <c r="I140" s="3"/>
      <c r="J140" s="3"/>
      <c r="K140" s="1"/>
      <c r="L140" s="1"/>
      <c r="M140" s="1"/>
      <c r="N140" s="1"/>
      <c r="O140" s="1"/>
      <c r="P140" s="1"/>
      <c r="Q140" s="1"/>
      <c r="R140" s="1"/>
      <c r="S140" s="121"/>
      <c r="T140" s="172" t="s">
        <v>102</v>
      </c>
      <c r="U140" s="1"/>
      <c r="V140" s="1"/>
      <c r="W140" s="1"/>
      <c r="X140" s="1"/>
      <c r="Y140" s="1"/>
      <c r="Z140" s="1"/>
      <c r="AA140" s="1"/>
      <c r="AB140" s="1"/>
      <c r="AC140" s="138"/>
      <c r="AD140" s="1"/>
      <c r="AE140" s="205"/>
      <c r="AF140" s="205"/>
      <c r="AG140" s="205"/>
      <c r="AH140" s="205"/>
      <c r="AI140" s="205"/>
      <c r="AJ140" s="205"/>
      <c r="AK140" s="205"/>
      <c r="AL140" s="205"/>
      <c r="AM140" s="205"/>
      <c r="AQ140" s="1"/>
    </row>
    <row r="141" ht="12" customHeight="1" spans="2:43" x14ac:dyDescent="0.25">
      <c r="B141" s="204"/>
      <c r="C141" s="204"/>
      <c r="D141" s="204"/>
      <c r="E141" s="204"/>
      <c r="F141" s="204"/>
      <c r="I141" s="1"/>
      <c r="J141" s="1"/>
      <c r="K141" s="1"/>
      <c r="L141" s="1"/>
      <c r="M141" s="1"/>
      <c r="N141" s="1"/>
      <c r="O141" s="1"/>
      <c r="P141" s="1"/>
      <c r="Q141" s="1"/>
      <c r="R141" s="1"/>
      <c r="S141" s="121"/>
      <c r="T141" s="206" t="s">
        <v>103</v>
      </c>
      <c r="U141" s="1"/>
      <c r="V141" s="1"/>
      <c r="W141" s="1"/>
      <c r="X141" s="1"/>
      <c r="Y141" s="1"/>
      <c r="Z141" s="1"/>
      <c r="AA141" s="1"/>
      <c r="AB141" s="1"/>
      <c r="AC141" s="1"/>
      <c r="AD141" s="1"/>
      <c r="AE141" s="1"/>
      <c r="AF141" s="97"/>
      <c r="AG141" s="97"/>
      <c r="AH141" s="97"/>
      <c r="AI141" s="97"/>
      <c r="AJ141" s="97"/>
      <c r="AK141" s="97"/>
      <c r="AL141" s="97"/>
      <c r="AM141" s="97"/>
      <c r="AQ141" s="1"/>
    </row>
    <row r="142" spans="2:43" x14ac:dyDescent="0.25">
      <c r="B142" s="204"/>
      <c r="C142" s="204"/>
      <c r="D142" s="204"/>
      <c r="E142" s="204"/>
      <c r="F142" s="204"/>
      <c r="I142" s="1"/>
      <c r="J142" s="1"/>
      <c r="K142" s="1"/>
      <c r="L142" s="1"/>
      <c r="M142" s="1"/>
      <c r="N142" s="1"/>
      <c r="O142" s="1"/>
      <c r="P142" s="1"/>
      <c r="Q142" s="1"/>
      <c r="R142" s="1"/>
      <c r="S142" s="121"/>
      <c r="T142" s="1"/>
      <c r="U142" s="1"/>
      <c r="V142" s="1"/>
      <c r="W142" s="1"/>
      <c r="X142" s="1"/>
      <c r="Y142" s="1"/>
      <c r="Z142" s="1"/>
      <c r="AA142" s="1"/>
      <c r="AB142" s="1"/>
      <c r="AC142" s="1"/>
      <c r="AD142" s="1"/>
      <c r="AE142" s="208" t="s">
        <v>104</v>
      </c>
      <c r="AF142" s="208"/>
      <c r="AG142" s="208"/>
      <c r="AH142" s="208"/>
      <c r="AI142" s="208"/>
      <c r="AJ142" s="208"/>
      <c r="AK142" s="208"/>
      <c r="AL142" s="208"/>
      <c r="AM142" s="208"/>
      <c r="AQ142" s="1"/>
    </row>
    <row r="143" spans="2:43" x14ac:dyDescent="0.25">
      <c r="B143" s="204"/>
      <c r="C143" s="204"/>
      <c r="D143" s="204"/>
      <c r="E143" s="204"/>
      <c r="F143" s="204"/>
      <c r="I143" s="1"/>
      <c r="J143" s="1"/>
      <c r="K143" s="1"/>
      <c r="L143" s="1"/>
      <c r="M143" s="1"/>
      <c r="N143" s="1"/>
      <c r="O143" s="1"/>
      <c r="P143" s="1"/>
      <c r="Q143" s="1"/>
      <c r="R143" s="1"/>
      <c r="S143" s="1"/>
      <c r="T143" s="172" t="s">
        <v>105</v>
      </c>
      <c r="U143" s="1"/>
      <c r="V143" s="1"/>
      <c r="W143" s="1"/>
      <c r="X143" s="1"/>
      <c r="Y143" s="1"/>
      <c r="Z143" s="1"/>
      <c r="AA143" s="1"/>
      <c r="AB143" s="1"/>
      <c r="AC143" s="209"/>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2" t="s">
        <v>106</v>
      </c>
      <c r="U144" s="1"/>
      <c r="V144" s="1"/>
      <c r="W144" s="1"/>
      <c r="X144" s="1"/>
      <c r="Y144" s="1"/>
      <c r="Z144" s="1"/>
      <c r="AA144" s="1"/>
      <c r="AB144" s="1"/>
      <c r="AC144" s="209"/>
      <c r="AD144" s="1"/>
      <c r="AE144" s="1" t="s">
        <v>107</v>
      </c>
      <c r="AG144" s="202"/>
      <c r="AH144" s="202"/>
      <c r="AI144" s="202"/>
      <c r="AJ144" s="202"/>
      <c r="AK144" s="202"/>
      <c r="AL144" s="202"/>
      <c r="AQ144" s="1"/>
    </row>
    <row r="145" ht="27.65" customHeight="1" spans="1:43" x14ac:dyDescent="0.25">
      <c r="A145" s="210"/>
      <c r="B145" s="210"/>
      <c r="C145" s="210"/>
      <c r="D145" s="210"/>
      <c r="E145" s="210"/>
      <c r="F145" s="210"/>
      <c r="I145" s="1"/>
      <c r="J145" s="1"/>
      <c r="K145" s="1"/>
      <c r="L145" s="1"/>
      <c r="M145" s="1"/>
      <c r="N145" s="1"/>
      <c r="O145" s="1"/>
      <c r="P145" s="1"/>
      <c r="Q145" s="1"/>
      <c r="R145" s="1"/>
      <c r="S145" s="1"/>
      <c r="T145" s="172" t="s">
        <v>108</v>
      </c>
      <c r="U145" s="1"/>
      <c r="V145" s="1"/>
      <c r="W145" s="1"/>
      <c r="X145" s="1"/>
      <c r="Y145" s="1"/>
      <c r="Z145" s="1"/>
      <c r="AA145" s="1"/>
      <c r="AB145" s="1"/>
      <c r="AC145" s="209"/>
      <c r="AD145" s="1"/>
      <c r="AE145" s="97"/>
      <c r="AF145" s="97"/>
      <c r="AG145" s="97"/>
      <c r="AH145" s="97"/>
      <c r="AI145" s="97"/>
      <c r="AJ145" s="97"/>
      <c r="AK145" s="97"/>
      <c r="AL145" s="97"/>
      <c r="AM145" s="97"/>
      <c r="AQ145" s="1"/>
    </row>
    <row r="146" ht="14.25" customHeight="1" spans="1:43" x14ac:dyDescent="0.25">
      <c r="A146" s="210"/>
      <c r="B146" s="210"/>
      <c r="C146" s="210"/>
      <c r="D146" s="210"/>
      <c r="E146" s="210"/>
      <c r="F146" s="210"/>
      <c r="I146" s="1"/>
      <c r="J146" s="1"/>
      <c r="K146" s="1"/>
      <c r="L146" s="1"/>
      <c r="M146" s="1"/>
      <c r="N146" s="1"/>
      <c r="O146" s="1"/>
      <c r="P146" s="1"/>
      <c r="Q146" s="1"/>
      <c r="R146" s="1"/>
      <c r="S146" s="1"/>
      <c r="T146" s="211" t="s">
        <v>109</v>
      </c>
      <c r="U146" s="212"/>
      <c r="V146" s="212"/>
      <c r="W146" s="212"/>
      <c r="X146" s="212"/>
      <c r="Y146" s="212"/>
      <c r="Z146" s="212"/>
      <c r="AA146" s="212"/>
      <c r="AB146" s="212"/>
      <c r="AC146" s="213"/>
      <c r="AD146" s="1"/>
      <c r="AE146" s="208" t="s">
        <v>110</v>
      </c>
      <c r="AF146" s="208"/>
      <c r="AG146" s="208"/>
      <c r="AH146" s="208"/>
      <c r="AI146" s="208"/>
      <c r="AJ146" s="208"/>
      <c r="AK146" s="208"/>
      <c r="AL146" s="208"/>
      <c r="AM146" s="208"/>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1"/>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1"/>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1"/>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1"/>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1"/>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1"/>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1"/>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1"/>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1"/>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1"/>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1"/>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1"/>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1"/>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1"/>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1"/>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1"/>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1"/>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1"/>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1"/>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1"/>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1"/>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1"/>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1"/>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1"/>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1"/>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1"/>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1"/>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1"/>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1"/>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1"/>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1"/>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1"/>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1"/>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1"/>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1"/>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1"/>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1"/>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1"/>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1"/>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1"/>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1"/>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1"/>
    </row>
    <row r="55" ht="21.9" customHeight="1" spans="1:43" x14ac:dyDescent="0.25">
      <c r="A55" s="62">
        <v>43</v>
      </c>
      <c r="B55" s="77"/>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1"/>
    </row>
    <row r="56" ht="21.9" customHeight="1" spans="1:43" x14ac:dyDescent="0.25">
      <c r="A56" s="62">
        <v>44</v>
      </c>
      <c r="B56" s="77"/>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1"/>
    </row>
    <row r="57" ht="21.9" customHeight="1" spans="1:43" x14ac:dyDescent="0.25">
      <c r="A57" s="62">
        <v>45</v>
      </c>
      <c r="B57" s="77"/>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1"/>
    </row>
    <row r="58" ht="21.9" customHeight="1" spans="1:43" x14ac:dyDescent="0.25">
      <c r="A58" s="62">
        <v>46</v>
      </c>
      <c r="B58" s="77"/>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1"/>
    </row>
    <row r="59" ht="21.9" customHeight="1" spans="1:43" x14ac:dyDescent="0.25">
      <c r="A59" s="62">
        <v>47</v>
      </c>
      <c r="B59" s="77"/>
      <c r="C59" s="78"/>
      <c r="D59" s="78"/>
      <c r="E59" s="78"/>
      <c r="F59" s="78"/>
      <c r="G59" s="79"/>
      <c r="H59" s="80"/>
      <c r="I59" s="80"/>
      <c r="J59" s="80"/>
      <c r="K59" s="81"/>
      <c r="L59" s="82"/>
      <c r="M59" s="80"/>
      <c r="N59" s="80"/>
      <c r="O59" s="80"/>
      <c r="P59" s="83"/>
      <c r="Q59" s="79"/>
      <c r="R59" s="80"/>
      <c r="S59" s="80"/>
      <c r="T59" s="80"/>
      <c r="U59" s="81"/>
      <c r="V59" s="82"/>
      <c r="W59" s="80"/>
      <c r="X59" s="80"/>
      <c r="Y59" s="80"/>
      <c r="Z59" s="83"/>
      <c r="AA59" s="79"/>
      <c r="AB59" s="80"/>
      <c r="AC59" s="80"/>
      <c r="AD59" s="83"/>
      <c r="AE59" s="81"/>
      <c r="AF59" s="72">
        <f t="shared" si="0"/>
      </c>
      <c r="AG59" s="73">
        <f t="shared" si="2"/>
      </c>
      <c r="AH59" s="74"/>
      <c r="AI59" s="75"/>
      <c r="AJ59" s="75"/>
      <c r="AK59" s="75"/>
      <c r="AL59" s="75"/>
      <c r="AM59" s="76"/>
      <c r="AQ59" s="1"/>
    </row>
    <row r="60" ht="21.9" customHeight="1" spans="1:43" x14ac:dyDescent="0.25">
      <c r="A60" s="62">
        <v>48</v>
      </c>
      <c r="B60" s="77"/>
      <c r="C60" s="78"/>
      <c r="D60" s="78"/>
      <c r="E60" s="78"/>
      <c r="F60" s="78"/>
      <c r="G60" s="79"/>
      <c r="H60" s="80"/>
      <c r="I60" s="80"/>
      <c r="J60" s="80"/>
      <c r="K60" s="81"/>
      <c r="L60" s="82"/>
      <c r="M60" s="80"/>
      <c r="N60" s="80"/>
      <c r="O60" s="80"/>
      <c r="P60" s="83"/>
      <c r="Q60" s="79"/>
      <c r="R60" s="80"/>
      <c r="S60" s="80"/>
      <c r="T60" s="80"/>
      <c r="U60" s="81"/>
      <c r="V60" s="82"/>
      <c r="W60" s="80"/>
      <c r="X60" s="80"/>
      <c r="Y60" s="80"/>
      <c r="Z60" s="83"/>
      <c r="AA60" s="79"/>
      <c r="AB60" s="80"/>
      <c r="AC60" s="80"/>
      <c r="AD60" s="83"/>
      <c r="AE60" s="81"/>
      <c r="AF60" s="72">
        <f t="shared" si="0"/>
      </c>
      <c r="AG60" s="73">
        <f t="shared" si="2"/>
      </c>
      <c r="AH60" s="74"/>
      <c r="AI60" s="75"/>
      <c r="AJ60" s="75"/>
      <c r="AK60" s="75"/>
      <c r="AL60" s="75"/>
      <c r="AM60" s="76"/>
      <c r="AQ60" s="1"/>
    </row>
    <row r="61" ht="21.9" customHeight="1" spans="1:43" x14ac:dyDescent="0.25">
      <c r="A61" s="62">
        <v>49</v>
      </c>
      <c r="B61" s="77"/>
      <c r="C61" s="78"/>
      <c r="D61" s="78"/>
      <c r="E61" s="78"/>
      <c r="F61" s="78"/>
      <c r="G61" s="79"/>
      <c r="H61" s="80"/>
      <c r="I61" s="80"/>
      <c r="J61" s="80"/>
      <c r="K61" s="81"/>
      <c r="L61" s="82"/>
      <c r="M61" s="80"/>
      <c r="N61" s="80"/>
      <c r="O61" s="80"/>
      <c r="P61" s="83"/>
      <c r="Q61" s="79"/>
      <c r="R61" s="80"/>
      <c r="S61" s="80"/>
      <c r="T61" s="80"/>
      <c r="U61" s="81"/>
      <c r="V61" s="82"/>
      <c r="W61" s="80"/>
      <c r="X61" s="80"/>
      <c r="Y61" s="80"/>
      <c r="Z61" s="83"/>
      <c r="AA61" s="79"/>
      <c r="AB61" s="80"/>
      <c r="AC61" s="80"/>
      <c r="AD61" s="83"/>
      <c r="AE61" s="81"/>
      <c r="AF61" s="72">
        <f t="shared" si="0"/>
      </c>
      <c r="AG61" s="73">
        <f t="shared" si="2"/>
      </c>
      <c r="AH61" s="74"/>
      <c r="AI61" s="75"/>
      <c r="AJ61" s="75"/>
      <c r="AK61" s="75"/>
      <c r="AL61" s="75"/>
      <c r="AM61" s="76"/>
      <c r="AQ61" s="1"/>
    </row>
    <row r="62" ht="21.9" customHeight="1" spans="1:43" x14ac:dyDescent="0.25">
      <c r="A62" s="79">
        <v>50</v>
      </c>
      <c r="B62" s="84"/>
      <c r="C62" s="78"/>
      <c r="D62" s="78"/>
      <c r="E62" s="78"/>
      <c r="F62" s="78"/>
      <c r="G62" s="79"/>
      <c r="H62" s="80"/>
      <c r="I62" s="80"/>
      <c r="J62" s="80"/>
      <c r="K62" s="81"/>
      <c r="L62" s="82"/>
      <c r="M62" s="80"/>
      <c r="N62" s="80"/>
      <c r="O62" s="80"/>
      <c r="P62" s="83"/>
      <c r="Q62" s="79"/>
      <c r="R62" s="80"/>
      <c r="S62" s="80"/>
      <c r="T62" s="80"/>
      <c r="U62" s="81"/>
      <c r="V62" s="82"/>
      <c r="W62" s="80"/>
      <c r="X62" s="80"/>
      <c r="Y62" s="80"/>
      <c r="Z62" s="83"/>
      <c r="AA62" s="79"/>
      <c r="AB62" s="80"/>
      <c r="AC62" s="80"/>
      <c r="AD62" s="83"/>
      <c r="AE62" s="81"/>
      <c r="AF62" s="72">
        <f t="shared" si="0"/>
      </c>
      <c r="AG62" s="73">
        <f t="shared" si="2"/>
      </c>
      <c r="AH62" s="74"/>
      <c r="AI62" s="75"/>
      <c r="AJ62" s="85"/>
      <c r="AK62" s="85"/>
      <c r="AL62" s="85"/>
      <c r="AM62" s="86"/>
      <c r="AQ62" s="1"/>
    </row>
    <row r="63" ht="21.9" customHeight="1" spans="1:43" x14ac:dyDescent="0.25">
      <c r="A63" s="87"/>
      <c r="B63" s="88" t="s">
        <v>36</v>
      </c>
      <c r="C63" s="88"/>
      <c r="D63" s="88"/>
      <c r="E63" s="88"/>
      <c r="F63" s="88"/>
      <c r="G63" s="89">
        <f t="shared" ref="G63:AE63" si="3">IF(G10="","",COUNTA($B$13:$B$62)-(COUNTIF(G13:G62,"x")*1+COUNTIF(G13:G62,"h")*0.5))</f>
        <v>0</v>
      </c>
      <c r="H63" s="90">
        <f t="shared" si="3"/>
        <v>0</v>
      </c>
      <c r="I63" s="90">
        <f t="shared" si="3"/>
        <v>0</v>
      </c>
      <c r="J63" s="90">
        <f t="shared" si="3"/>
        <v>0</v>
      </c>
      <c r="K63" s="91">
        <f t="shared" si="3"/>
        <v>0</v>
      </c>
      <c r="L63" s="89">
        <f t="shared" si="3"/>
        <v>0</v>
      </c>
      <c r="M63" s="90">
        <f t="shared" si="3"/>
        <v>0</v>
      </c>
      <c r="N63" s="90">
        <f t="shared" si="3"/>
        <v>0</v>
      </c>
      <c r="O63" s="90">
        <f t="shared" si="3"/>
        <v>0</v>
      </c>
      <c r="P63" s="91">
        <f t="shared" si="3"/>
        <v>0</v>
      </c>
      <c r="Q63" s="89">
        <f t="shared" si="3"/>
        <v>0</v>
      </c>
      <c r="R63" s="90">
        <f t="shared" si="3"/>
        <v>0</v>
      </c>
      <c r="S63" s="90">
        <f t="shared" si="3"/>
        <v>0</v>
      </c>
      <c r="T63" s="90">
        <f t="shared" si="3"/>
        <v>0</v>
      </c>
      <c r="U63" s="91">
        <f t="shared" si="3"/>
        <v>0</v>
      </c>
      <c r="V63" s="89">
        <f t="shared" si="3"/>
        <v>0</v>
      </c>
      <c r="W63" s="90">
        <f t="shared" si="3"/>
        <v>0</v>
      </c>
      <c r="X63" s="90">
        <f t="shared" si="3"/>
        <v>0</v>
      </c>
      <c r="Y63" s="90">
        <f t="shared" si="3"/>
        <v>0</v>
      </c>
      <c r="Z63" s="91">
        <f t="shared" si="3"/>
        <v>0</v>
      </c>
      <c r="AA63" s="89">
        <f t="shared" si="3"/>
      </c>
      <c r="AB63" s="90">
        <f t="shared" si="3"/>
      </c>
      <c r="AC63" s="90">
        <f t="shared" si="3"/>
      </c>
      <c r="AD63" s="90">
        <f t="shared" si="3"/>
      </c>
      <c r="AE63" s="91">
        <f t="shared" si="3"/>
      </c>
      <c r="AF63" s="92">
        <f>SUM(AF13:AF62)</f>
        <v>0</v>
      </c>
      <c r="AG63" s="93">
        <f>SUM(AG13:AG62)</f>
        <v>0</v>
      </c>
      <c r="AH63" s="94"/>
      <c r="AI63" s="95"/>
      <c r="AJ63" s="95"/>
      <c r="AK63" s="95"/>
      <c r="AL63" s="95"/>
      <c r="AM63" s="96"/>
      <c r="AQ63" s="1"/>
    </row>
    <row r="64" ht="21.9" customHeight="1" spans="1:43" x14ac:dyDescent="0.25">
      <c r="A64" s="62">
        <v>1</v>
      </c>
      <c r="B64" s="63" t="s">
        <v>37</v>
      </c>
      <c r="C64" s="97"/>
      <c r="D64" s="97"/>
      <c r="E64" s="97"/>
      <c r="F64" s="97"/>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1"/>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1"/>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1"/>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1"/>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1"/>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1"/>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1"/>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1"/>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1"/>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1"/>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1"/>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1"/>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1"/>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1"/>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1"/>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1"/>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1"/>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1"/>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1"/>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1"/>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1"/>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1"/>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1"/>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1"/>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1"/>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1"/>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1"/>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1"/>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1"/>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1"/>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1"/>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1"/>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1"/>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1"/>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1"/>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1"/>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1"/>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1"/>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1"/>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1"/>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1"/>
    </row>
    <row r="105" ht="21.9" customHeight="1" spans="1:43" x14ac:dyDescent="0.25">
      <c r="A105" s="62">
        <v>42</v>
      </c>
      <c r="B105" s="77"/>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1"/>
    </row>
    <row r="106" ht="21.9" customHeight="1" spans="1:43" x14ac:dyDescent="0.25">
      <c r="A106" s="62">
        <v>43</v>
      </c>
      <c r="B106" s="77"/>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1"/>
    </row>
    <row r="107" ht="21.9" customHeight="1" spans="1:43" x14ac:dyDescent="0.25">
      <c r="A107" s="62">
        <v>44</v>
      </c>
      <c r="B107" s="77"/>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1"/>
    </row>
    <row r="108" ht="21.9" customHeight="1" spans="1:43" x14ac:dyDescent="0.25">
      <c r="A108" s="62">
        <v>45</v>
      </c>
      <c r="B108" s="77"/>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1"/>
    </row>
    <row r="109" ht="21.9" customHeight="1" spans="1:43" x14ac:dyDescent="0.25">
      <c r="A109" s="62">
        <v>46</v>
      </c>
      <c r="B109" s="77"/>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1"/>
    </row>
    <row r="110" ht="21.9" customHeight="1" spans="1:43" x14ac:dyDescent="0.25">
      <c r="A110" s="62">
        <v>47</v>
      </c>
      <c r="B110" s="77"/>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1"/>
    </row>
    <row r="111" ht="21.9" customHeight="1" spans="1:43" x14ac:dyDescent="0.25">
      <c r="A111" s="62">
        <v>48</v>
      </c>
      <c r="B111" s="77"/>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1"/>
    </row>
    <row r="112" ht="21.9" customHeight="1" spans="1:43" x14ac:dyDescent="0.25">
      <c r="A112" s="62">
        <v>49</v>
      </c>
      <c r="B112" s="77"/>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1"/>
    </row>
    <row r="113" ht="21.9" customHeight="1" spans="1:43" x14ac:dyDescent="0.25">
      <c r="A113" s="79">
        <v>50</v>
      </c>
      <c r="B113" s="84"/>
      <c r="C113" s="78"/>
      <c r="D113" s="78"/>
      <c r="E113" s="78"/>
      <c r="F113" s="78"/>
      <c r="G113" s="79"/>
      <c r="H113" s="80"/>
      <c r="I113" s="80"/>
      <c r="J113" s="80"/>
      <c r="K113" s="81"/>
      <c r="L113" s="82"/>
      <c r="M113" s="80"/>
      <c r="N113" s="80"/>
      <c r="O113" s="80"/>
      <c r="P113" s="83"/>
      <c r="Q113" s="79"/>
      <c r="R113" s="80"/>
      <c r="S113" s="80"/>
      <c r="T113" s="80"/>
      <c r="U113" s="81"/>
      <c r="V113" s="82"/>
      <c r="W113" s="80"/>
      <c r="X113" s="80"/>
      <c r="Y113" s="80"/>
      <c r="Z113" s="83"/>
      <c r="AA113" s="79"/>
      <c r="AB113" s="80"/>
      <c r="AC113" s="80"/>
      <c r="AD113" s="83"/>
      <c r="AE113" s="81"/>
      <c r="AF113" s="98">
        <f t="shared" si="4"/>
      </c>
      <c r="AG113" s="99">
        <f t="shared" si="5"/>
      </c>
      <c r="AH113" s="100"/>
      <c r="AI113" s="85"/>
      <c r="AJ113" s="85"/>
      <c r="AK113" s="85"/>
      <c r="AL113" s="85"/>
      <c r="AM113" s="86"/>
      <c r="AQ113" s="1"/>
    </row>
    <row r="114" ht="21.9" customHeight="1" spans="1:43" x14ac:dyDescent="0.25">
      <c r="A114" s="101" t="s">
        <v>42</v>
      </c>
      <c r="B114" s="88"/>
      <c r="C114" s="88"/>
      <c r="D114" s="88"/>
      <c r="E114" s="88"/>
      <c r="F114" s="88"/>
      <c r="G114" s="102">
        <f t="shared" ref="G114:AE114" si="6">IF(G10="","",COUNTA($B$64:$B$113)-(COUNTIF(G64:G113,"x")+COUNTIF(G64:G113,"h")*0.5))</f>
        <v>0</v>
      </c>
      <c r="H114" s="90">
        <f t="shared" si="6"/>
        <v>0</v>
      </c>
      <c r="I114" s="90">
        <f t="shared" si="6"/>
        <v>0</v>
      </c>
      <c r="J114" s="90">
        <f t="shared" si="6"/>
        <v>0</v>
      </c>
      <c r="K114" s="91">
        <f t="shared" si="6"/>
        <v>0</v>
      </c>
      <c r="L114" s="102">
        <f t="shared" si="6"/>
        <v>0</v>
      </c>
      <c r="M114" s="90">
        <f t="shared" si="6"/>
        <v>0</v>
      </c>
      <c r="N114" s="90">
        <f t="shared" si="6"/>
        <v>0</v>
      </c>
      <c r="O114" s="90">
        <f t="shared" si="6"/>
        <v>0</v>
      </c>
      <c r="P114" s="91">
        <f t="shared" si="6"/>
        <v>0</v>
      </c>
      <c r="Q114" s="102">
        <f t="shared" si="6"/>
        <v>0</v>
      </c>
      <c r="R114" s="90">
        <f t="shared" si="6"/>
        <v>0</v>
      </c>
      <c r="S114" s="90">
        <f t="shared" si="6"/>
        <v>0</v>
      </c>
      <c r="T114" s="90">
        <f t="shared" si="6"/>
        <v>0</v>
      </c>
      <c r="U114" s="91">
        <f t="shared" si="6"/>
        <v>0</v>
      </c>
      <c r="V114" s="102">
        <f t="shared" si="6"/>
        <v>0</v>
      </c>
      <c r="W114" s="90">
        <f t="shared" si="6"/>
        <v>0</v>
      </c>
      <c r="X114" s="90">
        <f t="shared" si="6"/>
        <v>0</v>
      </c>
      <c r="Y114" s="90">
        <f t="shared" si="6"/>
        <v>0</v>
      </c>
      <c r="Z114" s="91">
        <f t="shared" si="6"/>
        <v>0</v>
      </c>
      <c r="AA114" s="102">
        <f t="shared" si="6"/>
      </c>
      <c r="AB114" s="90">
        <f t="shared" si="6"/>
      </c>
      <c r="AC114" s="90">
        <f t="shared" si="6"/>
      </c>
      <c r="AD114" s="90">
        <f t="shared" si="6"/>
      </c>
      <c r="AE114" s="91">
        <f t="shared" si="6"/>
      </c>
      <c r="AF114" s="92">
        <f>SUM(AF64:AF113)</f>
        <v>0</v>
      </c>
      <c r="AG114" s="93">
        <f>SUM(AG64:AG113)</f>
        <v>0</v>
      </c>
      <c r="AH114" s="103"/>
      <c r="AI114" s="104"/>
      <c r="AJ114" s="104"/>
      <c r="AK114" s="104"/>
      <c r="AL114" s="104"/>
      <c r="AM114" s="105"/>
      <c r="AQ114" s="1"/>
    </row>
    <row r="115" ht="21.9" customHeight="1" spans="1:43" x14ac:dyDescent="0.25">
      <c r="A115" s="106" t="s">
        <v>43</v>
      </c>
      <c r="B115" s="106"/>
      <c r="C115" s="107"/>
      <c r="D115" s="107"/>
      <c r="E115" s="107"/>
      <c r="F115" s="107"/>
      <c r="G115" s="108">
        <f t="shared" ref="G115:AE115" si="7">IF(G10="","",G63+G114)</f>
        <v>0</v>
      </c>
      <c r="H115" s="109">
        <f t="shared" si="7"/>
        <v>0</v>
      </c>
      <c r="I115" s="109">
        <f t="shared" si="7"/>
        <v>0</v>
      </c>
      <c r="J115" s="109">
        <f t="shared" si="7"/>
        <v>0</v>
      </c>
      <c r="K115" s="110">
        <f t="shared" si="7"/>
        <v>0</v>
      </c>
      <c r="L115" s="108">
        <f t="shared" si="7"/>
        <v>0</v>
      </c>
      <c r="M115" s="109">
        <f t="shared" si="7"/>
        <v>0</v>
      </c>
      <c r="N115" s="109">
        <f t="shared" si="7"/>
        <v>0</v>
      </c>
      <c r="O115" s="109">
        <f t="shared" si="7"/>
        <v>0</v>
      </c>
      <c r="P115" s="110">
        <f t="shared" si="7"/>
        <v>0</v>
      </c>
      <c r="Q115" s="108">
        <f t="shared" si="7"/>
        <v>0</v>
      </c>
      <c r="R115" s="109">
        <f t="shared" si="7"/>
        <v>0</v>
      </c>
      <c r="S115" s="109">
        <f t="shared" si="7"/>
        <v>0</v>
      </c>
      <c r="T115" s="109">
        <f t="shared" si="7"/>
        <v>0</v>
      </c>
      <c r="U115" s="110">
        <f t="shared" si="7"/>
        <v>0</v>
      </c>
      <c r="V115" s="108">
        <f t="shared" si="7"/>
        <v>0</v>
      </c>
      <c r="W115" s="109">
        <f t="shared" si="7"/>
        <v>0</v>
      </c>
      <c r="X115" s="109">
        <f t="shared" si="7"/>
        <v>0</v>
      </c>
      <c r="Y115" s="109">
        <f t="shared" si="7"/>
        <v>0</v>
      </c>
      <c r="Z115" s="110">
        <f t="shared" si="7"/>
        <v>0</v>
      </c>
      <c r="AA115" s="108">
        <f t="shared" si="7"/>
      </c>
      <c r="AB115" s="109">
        <f t="shared" si="7"/>
      </c>
      <c r="AC115" s="109">
        <f t="shared" si="7"/>
      </c>
      <c r="AD115" s="109">
        <f t="shared" si="7"/>
      </c>
      <c r="AE115" s="110">
        <f t="shared" si="7"/>
      </c>
      <c r="AF115" s="111">
        <f>AF63+AF114</f>
        <v>0</v>
      </c>
      <c r="AG115" s="112">
        <f>AG63+AG114</f>
        <v>0</v>
      </c>
      <c r="AH115" s="113"/>
      <c r="AI115" s="114"/>
      <c r="AJ115" s="114"/>
      <c r="AK115" s="114"/>
      <c r="AL115" s="114"/>
      <c r="AM115" s="115"/>
      <c r="AQ115" s="1"/>
    </row>
    <row r="116" ht="6.75" customHeight="1" spans="1:43" x14ac:dyDescent="0.25">
      <c r="A116" s="116"/>
      <c r="B116" s="116"/>
      <c r="C116" s="116"/>
      <c r="D116" s="116"/>
      <c r="E116" s="116"/>
      <c r="F116" s="116"/>
      <c r="G116" s="117"/>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18" t="s">
        <v>44</v>
      </c>
      <c r="B117" s="119"/>
      <c r="C117" s="119"/>
      <c r="D117" s="119"/>
      <c r="E117" s="119"/>
      <c r="F117" s="119"/>
      <c r="G117" s="120"/>
      <c r="H117" s="120"/>
      <c r="I117" s="120"/>
      <c r="J117" s="120"/>
      <c r="K117" s="120"/>
      <c r="L117" s="120"/>
      <c r="M117" s="120"/>
      <c r="N117" s="120"/>
      <c r="O117" s="120"/>
      <c r="P117" s="120"/>
      <c r="Q117" s="120"/>
      <c r="R117" s="120"/>
      <c r="S117" s="121"/>
      <c r="T117" s="122" t="s">
        <v>45</v>
      </c>
      <c r="U117" s="123"/>
      <c r="V117" s="123"/>
      <c r="W117" s="123"/>
      <c r="X117" s="123"/>
      <c r="Y117" s="124"/>
      <c r="Z117" s="124"/>
      <c r="AA117" s="124"/>
      <c r="AB117" s="125"/>
      <c r="AC117" s="126"/>
      <c r="AE117" s="127" t="s">
        <v>46</v>
      </c>
      <c r="AF117" s="128"/>
      <c r="AG117" s="129">
        <f>AA6</f>
        <v>NaN</v>
      </c>
      <c r="AH117" s="130" t="s">
        <v>47</v>
      </c>
      <c r="AI117" s="131"/>
      <c r="AJ117" s="132">
        <f>AQ9</f>
        <v>20</v>
      </c>
      <c r="AK117" s="133" t="s">
        <v>48</v>
      </c>
      <c r="AL117" s="133"/>
      <c r="AM117" s="134"/>
      <c r="AQ117" s="1"/>
    </row>
    <row r="118" ht="15" customHeight="1" spans="1:43" x14ac:dyDescent="0.25">
      <c r="A118" s="135" t="s">
        <v>49</v>
      </c>
      <c r="B118" s="135"/>
      <c r="C118" s="135"/>
      <c r="D118" s="135"/>
      <c r="E118" s="135"/>
      <c r="F118" s="135"/>
      <c r="G118" s="1"/>
      <c r="H118" s="1"/>
      <c r="I118" s="1"/>
      <c r="J118" s="1"/>
      <c r="K118" s="1"/>
      <c r="L118" s="1"/>
      <c r="M118" s="1"/>
      <c r="N118" s="1"/>
      <c r="O118" s="1"/>
      <c r="P118" s="1"/>
      <c r="Q118" s="1"/>
      <c r="R118" s="120"/>
      <c r="S118" s="121"/>
      <c r="T118" s="136" t="s">
        <v>50</v>
      </c>
      <c r="U118" s="1"/>
      <c r="V118" s="1"/>
      <c r="W118" s="1"/>
      <c r="X118" s="1"/>
      <c r="Y118" s="1"/>
      <c r="Z118" s="1"/>
      <c r="AA118" s="137"/>
      <c r="AB118" s="137"/>
      <c r="AC118" s="138"/>
      <c r="AE118" s="139"/>
      <c r="AF118" s="140"/>
      <c r="AG118" s="141"/>
      <c r="AH118" s="142"/>
      <c r="AI118" s="143"/>
      <c r="AJ118" s="144"/>
      <c r="AK118" s="145" t="s">
        <v>16</v>
      </c>
      <c r="AL118" s="146" t="s">
        <v>20</v>
      </c>
      <c r="AM118" s="147" t="s">
        <v>51</v>
      </c>
      <c r="AQ118" s="1"/>
    </row>
    <row r="119" ht="15.5" customHeight="1" spans="1:43" x14ac:dyDescent="0.25">
      <c r="A119" s="135" t="s">
        <v>52</v>
      </c>
      <c r="B119" s="135"/>
      <c r="C119" s="135"/>
      <c r="D119" s="135"/>
      <c r="E119" s="135"/>
      <c r="F119" s="135"/>
      <c r="G119" s="1"/>
      <c r="H119" s="1"/>
      <c r="I119" s="1"/>
      <c r="J119" s="1"/>
      <c r="K119" s="1"/>
      <c r="L119" s="1"/>
      <c r="M119" s="1"/>
      <c r="N119" s="1"/>
      <c r="O119" s="1"/>
      <c r="P119" s="1"/>
      <c r="Q119" s="1"/>
      <c r="R119" s="120"/>
      <c r="S119" s="121"/>
      <c r="T119" s="1"/>
      <c r="U119" s="1"/>
      <c r="V119" s="1"/>
      <c r="W119" s="1"/>
      <c r="X119" s="1"/>
      <c r="Y119" s="1"/>
      <c r="Z119" s="1"/>
      <c r="AA119" s="148"/>
      <c r="AB119" s="148"/>
      <c r="AC119" s="138"/>
      <c r="AE119" s="149" t="s">
        <v>53</v>
      </c>
      <c r="AF119" s="150"/>
      <c r="AG119" s="150"/>
      <c r="AH119" s="150"/>
      <c r="AI119" s="150"/>
      <c r="AJ119" s="151"/>
      <c r="AK119" s="152"/>
      <c r="AL119" s="152"/>
      <c r="AM119" s="153">
        <f>AK119+AL119</f>
        <v>0</v>
      </c>
      <c r="AQ119" s="1"/>
    </row>
    <row r="120" ht="15.75" customHeight="1" spans="1:43" x14ac:dyDescent="0.25">
      <c r="A120" s="135" t="s">
        <v>54</v>
      </c>
      <c r="B120" s="135"/>
      <c r="C120" s="135"/>
      <c r="D120" s="135"/>
      <c r="E120" s="135"/>
      <c r="F120" s="135"/>
      <c r="G120" s="1"/>
      <c r="H120" s="1"/>
      <c r="I120" s="1"/>
      <c r="J120" s="1"/>
      <c r="K120" s="1"/>
      <c r="L120" s="1"/>
      <c r="M120" s="1"/>
      <c r="N120" s="1"/>
      <c r="O120" s="1"/>
      <c r="P120" s="1"/>
      <c r="Q120" s="1"/>
      <c r="R120" s="120"/>
      <c r="S120" s="121"/>
      <c r="T120" s="1"/>
      <c r="U120" s="1"/>
      <c r="V120" s="1"/>
      <c r="W120" s="1"/>
      <c r="X120" s="1"/>
      <c r="Y120" s="1"/>
      <c r="Z120" s="1"/>
      <c r="AA120" s="148"/>
      <c r="AB120" s="148"/>
      <c r="AC120" s="138"/>
      <c r="AE120" s="154"/>
      <c r="AF120" s="155"/>
      <c r="AG120" s="155"/>
      <c r="AH120" s="155"/>
      <c r="AI120" s="155"/>
      <c r="AJ120" s="156"/>
      <c r="AK120" s="31"/>
      <c r="AL120" s="31"/>
      <c r="AM120" s="157"/>
      <c r="AQ120" s="1"/>
    </row>
    <row r="121" ht="15.75" customHeight="1" spans="1:43" x14ac:dyDescent="0.25">
      <c r="A121" s="158" t="s">
        <v>55</v>
      </c>
      <c r="B121" s="159" t="s">
        <v>56</v>
      </c>
      <c r="C121" s="159"/>
      <c r="D121" s="159"/>
      <c r="E121" s="159"/>
      <c r="F121" s="159"/>
      <c r="G121" s="160" t="s">
        <v>57</v>
      </c>
      <c r="H121" s="1"/>
      <c r="I121" s="1"/>
      <c r="J121" s="1"/>
      <c r="K121" s="1"/>
      <c r="L121" s="1"/>
      <c r="M121" s="1"/>
      <c r="N121" s="1"/>
      <c r="O121" s="1"/>
      <c r="P121" s="1"/>
      <c r="Q121" s="161" t="s">
        <v>58</v>
      </c>
      <c r="R121" s="1"/>
      <c r="S121" s="121"/>
      <c r="T121" s="162" t="s">
        <v>59</v>
      </c>
      <c r="U121" s="1"/>
      <c r="V121" s="1"/>
      <c r="W121" s="1"/>
      <c r="X121" s="1"/>
      <c r="Y121" s="3"/>
      <c r="Z121" s="1"/>
      <c r="AB121" s="163"/>
      <c r="AC121" s="138"/>
      <c r="AE121" s="164" t="s">
        <v>60</v>
      </c>
      <c r="AF121" s="165"/>
      <c r="AG121" s="165"/>
      <c r="AH121" s="165"/>
      <c r="AI121" s="165"/>
      <c r="AJ121" s="165"/>
      <c r="AK121" s="166">
        <v>0</v>
      </c>
      <c r="AL121" s="166">
        <v>0</v>
      </c>
      <c r="AM121" s="167">
        <f>AK121+AL121</f>
        <v>0</v>
      </c>
      <c r="AQ121" s="1"/>
    </row>
    <row r="122" ht="15.75" customHeight="1" spans="1:43" x14ac:dyDescent="0.25">
      <c r="A122" s="158"/>
      <c r="B122" s="159"/>
      <c r="C122" s="159"/>
      <c r="D122" s="159"/>
      <c r="E122" s="159"/>
      <c r="F122" s="159"/>
      <c r="G122" s="168" t="s">
        <v>61</v>
      </c>
      <c r="H122" s="1"/>
      <c r="I122" s="1"/>
      <c r="J122" s="1"/>
      <c r="K122" s="1"/>
      <c r="L122" s="1"/>
      <c r="M122" s="1"/>
      <c r="N122" s="1"/>
      <c r="O122" s="1"/>
      <c r="P122" s="1"/>
      <c r="Q122" s="1"/>
      <c r="R122" s="1"/>
      <c r="S122" s="121"/>
      <c r="T122" s="162" t="s">
        <v>62</v>
      </c>
      <c r="U122" s="3"/>
      <c r="V122" s="3"/>
      <c r="W122" s="3"/>
      <c r="X122" s="3"/>
      <c r="Y122" s="3"/>
      <c r="Z122" s="1"/>
      <c r="AB122" s="163"/>
      <c r="AC122" s="138"/>
      <c r="AE122" s="164"/>
      <c r="AF122" s="165"/>
      <c r="AG122" s="165"/>
      <c r="AH122" s="165"/>
      <c r="AI122" s="165"/>
      <c r="AJ122" s="165"/>
      <c r="AK122" s="166"/>
      <c r="AL122" s="166"/>
      <c r="AM122" s="167"/>
      <c r="AQ122" s="1"/>
    </row>
    <row r="123" ht="18" customHeight="1" spans="1:43" x14ac:dyDescent="0.25">
      <c r="A123" s="158" t="s">
        <v>63</v>
      </c>
      <c r="B123" s="169" t="s">
        <v>64</v>
      </c>
      <c r="C123" s="169"/>
      <c r="D123" s="169"/>
      <c r="E123" s="169"/>
      <c r="F123" s="169"/>
      <c r="G123" s="170" t="s">
        <v>65</v>
      </c>
      <c r="H123" s="1"/>
      <c r="I123" s="1"/>
      <c r="J123" s="1"/>
      <c r="K123" s="1"/>
      <c r="L123" s="1"/>
      <c r="M123" s="1"/>
      <c r="N123" s="1"/>
      <c r="O123" s="1"/>
      <c r="P123" s="1"/>
      <c r="Q123" s="171"/>
      <c r="R123" s="120"/>
      <c r="S123" s="121"/>
      <c r="T123" s="172" t="s">
        <v>66</v>
      </c>
      <c r="U123" s="3"/>
      <c r="V123" s="3"/>
      <c r="W123" s="3"/>
      <c r="X123" s="3"/>
      <c r="Y123" s="3"/>
      <c r="Z123" s="1"/>
      <c r="AB123" s="163"/>
      <c r="AC123" s="138"/>
      <c r="AE123" s="164" t="s">
        <v>67</v>
      </c>
      <c r="AF123" s="165"/>
      <c r="AG123" s="165"/>
      <c r="AH123" s="165"/>
      <c r="AI123" s="165"/>
      <c r="AJ123" s="165"/>
      <c r="AK123" s="173">
        <f>COUNTA($B$13:$B$62)</f>
        <v>0</v>
      </c>
      <c r="AL123" s="173">
        <f>COUNTA($B$64:$B$113)</f>
        <v>0</v>
      </c>
      <c r="AM123" s="153">
        <f>AK123+AL123</f>
        <v>0</v>
      </c>
      <c r="AQ123" s="1"/>
    </row>
    <row r="124" ht="14.25" customHeight="1" spans="1:43" x14ac:dyDescent="0.25">
      <c r="A124" s="158"/>
      <c r="B124" s="169"/>
      <c r="C124" s="169"/>
      <c r="D124" s="169"/>
      <c r="E124" s="169"/>
      <c r="F124" s="169"/>
      <c r="G124" s="168" t="s">
        <v>68</v>
      </c>
      <c r="H124" s="1"/>
      <c r="I124" s="1"/>
      <c r="J124" s="1"/>
      <c r="K124" s="1"/>
      <c r="L124" s="1"/>
      <c r="M124" s="1"/>
      <c r="N124" s="1"/>
      <c r="O124" s="1"/>
      <c r="P124" s="1"/>
      <c r="Q124" s="120"/>
      <c r="R124" s="120"/>
      <c r="S124" s="121"/>
      <c r="T124" s="172" t="s">
        <v>69</v>
      </c>
      <c r="U124" s="1"/>
      <c r="V124" s="1"/>
      <c r="W124" s="1"/>
      <c r="X124" s="1"/>
      <c r="Y124" s="3"/>
      <c r="Z124" s="1"/>
      <c r="AB124" s="163"/>
      <c r="AC124" s="138"/>
      <c r="AE124" s="164"/>
      <c r="AF124" s="165"/>
      <c r="AG124" s="165"/>
      <c r="AH124" s="165"/>
      <c r="AI124" s="165"/>
      <c r="AJ124" s="165"/>
      <c r="AK124" s="174"/>
      <c r="AL124" s="174"/>
      <c r="AM124" s="157"/>
      <c r="AQ124" s="1"/>
    </row>
    <row r="125" ht="15.75" customHeight="1" spans="1:43" x14ac:dyDescent="0.25">
      <c r="A125" s="175" t="s">
        <v>70</v>
      </c>
      <c r="B125" s="159" t="s">
        <v>71</v>
      </c>
      <c r="C125" s="159"/>
      <c r="D125" s="159"/>
      <c r="E125" s="159"/>
      <c r="F125" s="159"/>
      <c r="G125" s="160" t="s">
        <v>72</v>
      </c>
      <c r="H125" s="1"/>
      <c r="I125" s="1"/>
      <c r="J125" s="1"/>
      <c r="K125" s="1"/>
      <c r="L125" s="1"/>
      <c r="M125" s="1"/>
      <c r="N125" s="1"/>
      <c r="O125" s="1"/>
      <c r="P125" s="1"/>
      <c r="Q125" s="161" t="s">
        <v>58</v>
      </c>
      <c r="R125" s="1"/>
      <c r="S125" s="121"/>
      <c r="T125" s="172" t="s">
        <v>73</v>
      </c>
      <c r="U125" s="1"/>
      <c r="V125" s="1"/>
      <c r="W125" s="1"/>
      <c r="X125" s="1"/>
      <c r="Y125" s="1"/>
      <c r="Z125" s="1"/>
      <c r="AB125" s="163"/>
      <c r="AC125" s="138"/>
      <c r="AE125" s="176" t="s">
        <v>74</v>
      </c>
      <c r="AF125" s="177"/>
      <c r="AG125" s="177"/>
      <c r="AH125" s="177"/>
      <c r="AI125" s="177"/>
      <c r="AJ125" s="177"/>
      <c r="AK125" s="178" t="e">
        <f>AK123/AK119</f>
        <v>#DIV/0!</v>
      </c>
      <c r="AL125" s="178" t="e">
        <f>AL123/AL119</f>
        <v>#DIV/0!</v>
      </c>
      <c r="AM125" s="179" t="e">
        <f>AM123/AM119</f>
        <v>#DIV/0!</v>
      </c>
      <c r="AQ125" s="1"/>
    </row>
    <row r="126" ht="19.5" customHeight="1" spans="1:43" x14ac:dyDescent="0.25">
      <c r="A126" s="175"/>
      <c r="B126" s="159"/>
      <c r="C126" s="159"/>
      <c r="D126" s="159"/>
      <c r="E126" s="159"/>
      <c r="F126" s="159"/>
      <c r="G126" s="161" t="s">
        <v>75</v>
      </c>
      <c r="H126" s="1"/>
      <c r="I126" s="1"/>
      <c r="J126" s="1"/>
      <c r="K126" s="1"/>
      <c r="L126" s="1"/>
      <c r="M126" s="1"/>
      <c r="N126" s="1"/>
      <c r="O126" s="1"/>
      <c r="P126" s="1"/>
      <c r="Q126" s="1"/>
      <c r="R126" s="1"/>
      <c r="S126" s="121"/>
      <c r="T126" s="172" t="s">
        <v>76</v>
      </c>
      <c r="U126" s="1"/>
      <c r="V126" s="1"/>
      <c r="W126" s="1"/>
      <c r="X126" s="1"/>
      <c r="Y126" s="1"/>
      <c r="Z126" s="1"/>
      <c r="AB126" s="163"/>
      <c r="AC126" s="138"/>
      <c r="AE126" s="176"/>
      <c r="AF126" s="177"/>
      <c r="AG126" s="177"/>
      <c r="AH126" s="177"/>
      <c r="AI126" s="177"/>
      <c r="AJ126" s="177"/>
      <c r="AK126" s="180"/>
      <c r="AL126" s="180"/>
      <c r="AM126" s="181"/>
      <c r="AQ126" s="1"/>
    </row>
    <row r="127" ht="26.25" customHeight="1" spans="1:43" x14ac:dyDescent="0.25">
      <c r="A127" s="135"/>
      <c r="B127" s="135"/>
      <c r="C127" s="135"/>
      <c r="D127" s="135"/>
      <c r="E127" s="135"/>
      <c r="F127" s="135"/>
      <c r="G127" s="1"/>
      <c r="H127" s="1"/>
      <c r="I127" s="1"/>
      <c r="J127" s="1"/>
      <c r="K127" s="1"/>
      <c r="L127" s="1"/>
      <c r="M127" s="1"/>
      <c r="N127" s="1"/>
      <c r="O127" s="1"/>
      <c r="P127" s="161"/>
      <c r="Q127" s="161"/>
      <c r="R127" s="120"/>
      <c r="S127" s="121"/>
      <c r="T127" s="162" t="s">
        <v>77</v>
      </c>
      <c r="U127" s="1"/>
      <c r="V127" s="1"/>
      <c r="W127" s="1"/>
      <c r="X127" s="1"/>
      <c r="Y127" s="1"/>
      <c r="Z127" s="1"/>
      <c r="AB127" s="3"/>
      <c r="AC127" s="138"/>
      <c r="AE127" s="182" t="s">
        <v>78</v>
      </c>
      <c r="AF127" s="183"/>
      <c r="AG127" s="183"/>
      <c r="AH127" s="183"/>
      <c r="AI127" s="183"/>
      <c r="AJ127" s="183"/>
      <c r="AK127" s="184">
        <f>AG63/AJ117</f>
        <v>0</v>
      </c>
      <c r="AL127" s="184">
        <f>AG114/AJ117</f>
        <v>0</v>
      </c>
      <c r="AM127" s="185">
        <f>AG115/AJ117</f>
        <v>0</v>
      </c>
      <c r="AQ127" s="1"/>
    </row>
    <row r="128" ht="16.5" customHeight="1" spans="1:43" x14ac:dyDescent="0.25">
      <c r="A128" s="186" t="s">
        <v>79</v>
      </c>
      <c r="B128" s="186"/>
      <c r="C128" s="186"/>
      <c r="D128" s="186"/>
      <c r="E128" s="186"/>
      <c r="F128" s="186"/>
      <c r="G128" s="1"/>
      <c r="H128" s="1"/>
      <c r="I128" s="1"/>
      <c r="J128" s="1"/>
      <c r="K128" s="1"/>
      <c r="L128" s="1"/>
      <c r="M128" s="1"/>
      <c r="N128" s="1"/>
      <c r="O128" s="1"/>
      <c r="P128" s="1"/>
      <c r="Q128" s="1"/>
      <c r="R128" s="171"/>
      <c r="S128" s="121"/>
      <c r="T128" s="172" t="s">
        <v>80</v>
      </c>
      <c r="U128" s="1"/>
      <c r="V128" s="1"/>
      <c r="W128" s="1"/>
      <c r="X128" s="1"/>
      <c r="Y128" s="1"/>
      <c r="Z128" s="1"/>
      <c r="AB128" s="163"/>
      <c r="AC128" s="138"/>
      <c r="AE128" s="164" t="s">
        <v>81</v>
      </c>
      <c r="AF128" s="165"/>
      <c r="AG128" s="165"/>
      <c r="AH128" s="165"/>
      <c r="AI128" s="165"/>
      <c r="AJ128" s="165"/>
      <c r="AK128" s="187" t="e">
        <f>AK127/AK123</f>
        <v>#DIV/0!</v>
      </c>
      <c r="AL128" s="187" t="e">
        <f>AL127/AL123</f>
        <v>#DIV/0!</v>
      </c>
      <c r="AM128" s="188" t="e">
        <f>AM127/AM123</f>
        <v>#DIV/0!</v>
      </c>
      <c r="AQ128" s="1"/>
    </row>
    <row r="129" ht="15.75" customHeight="1" spans="1:43" x14ac:dyDescent="0.25">
      <c r="A129" s="186"/>
      <c r="B129" s="186"/>
      <c r="C129" s="186"/>
      <c r="D129" s="186"/>
      <c r="E129" s="186"/>
      <c r="F129" s="186"/>
      <c r="G129" s="1"/>
      <c r="H129" s="1"/>
      <c r="I129" s="1"/>
      <c r="J129" s="1"/>
      <c r="K129" s="1"/>
      <c r="L129" s="1"/>
      <c r="M129" s="1"/>
      <c r="N129" s="1"/>
      <c r="O129" s="1"/>
      <c r="P129" s="1"/>
      <c r="Q129" s="1"/>
      <c r="R129" s="171"/>
      <c r="S129" s="121"/>
      <c r="T129" s="172" t="s">
        <v>82</v>
      </c>
      <c r="U129" s="1"/>
      <c r="V129" s="1"/>
      <c r="W129" s="1"/>
      <c r="X129" s="1"/>
      <c r="Y129" s="1"/>
      <c r="Z129" s="1"/>
      <c r="AB129" s="163"/>
      <c r="AC129" s="138"/>
      <c r="AE129" s="164"/>
      <c r="AF129" s="165"/>
      <c r="AG129" s="165"/>
      <c r="AH129" s="165"/>
      <c r="AI129" s="165"/>
      <c r="AJ129" s="165"/>
      <c r="AK129" s="174"/>
      <c r="AL129" s="187"/>
      <c r="AM129" s="188"/>
      <c r="AQ129" s="1"/>
    </row>
    <row r="130" ht="15.75" customHeight="1" spans="1:43" x14ac:dyDescent="0.25">
      <c r="A130" s="189" t="s">
        <v>83</v>
      </c>
      <c r="B130" s="189"/>
      <c r="C130" s="189"/>
      <c r="D130" s="189"/>
      <c r="E130" s="189"/>
      <c r="F130" s="189"/>
      <c r="G130" s="1"/>
      <c r="H130" s="1"/>
      <c r="I130" s="1"/>
      <c r="J130" s="1"/>
      <c r="K130" s="1"/>
      <c r="L130" s="1"/>
      <c r="M130" s="1"/>
      <c r="N130" s="1"/>
      <c r="O130" s="1"/>
      <c r="P130" s="1"/>
      <c r="Q130" s="1"/>
      <c r="R130" s="1"/>
      <c r="S130" s="121"/>
      <c r="T130" s="172" t="s">
        <v>84</v>
      </c>
      <c r="U130" s="1"/>
      <c r="V130" s="1"/>
      <c r="W130" s="1"/>
      <c r="X130" s="1"/>
      <c r="Y130" s="1"/>
      <c r="Z130" s="1"/>
      <c r="AB130" s="163"/>
      <c r="AC130" s="138"/>
      <c r="AD130" s="190"/>
      <c r="AE130" s="164" t="s">
        <v>85</v>
      </c>
      <c r="AF130" s="165"/>
      <c r="AG130" s="165"/>
      <c r="AH130" s="165"/>
      <c r="AI130" s="165"/>
      <c r="AJ130" s="165"/>
      <c r="AK130" s="191">
        <v>0</v>
      </c>
      <c r="AL130" s="191">
        <v>0</v>
      </c>
      <c r="AM130" s="192">
        <f>AK130+AL130</f>
        <v>0</v>
      </c>
      <c r="AQ130" s="1"/>
    </row>
    <row r="131" ht="16.5" customHeight="1" spans="1:43" x14ac:dyDescent="0.25">
      <c r="A131" s="189"/>
      <c r="B131" s="189"/>
      <c r="C131" s="189"/>
      <c r="D131" s="189"/>
      <c r="E131" s="189"/>
      <c r="F131" s="189"/>
      <c r="G131" s="1"/>
      <c r="H131" s="1"/>
      <c r="I131" s="1"/>
      <c r="J131" s="1"/>
      <c r="K131" s="1"/>
      <c r="L131" s="1"/>
      <c r="M131" s="1"/>
      <c r="N131" s="1"/>
      <c r="O131" s="1"/>
      <c r="P131" s="1"/>
      <c r="Q131" s="1"/>
      <c r="R131" s="1"/>
      <c r="S131" s="121"/>
      <c r="T131" s="172" t="s">
        <v>86</v>
      </c>
      <c r="U131" s="1"/>
      <c r="V131" s="1"/>
      <c r="W131" s="1"/>
      <c r="X131" s="1"/>
      <c r="Y131" s="1"/>
      <c r="Z131" s="1"/>
      <c r="AB131" s="3"/>
      <c r="AC131" s="138"/>
      <c r="AE131" s="164"/>
      <c r="AF131" s="165"/>
      <c r="AG131" s="165"/>
      <c r="AH131" s="165"/>
      <c r="AI131" s="165"/>
      <c r="AJ131" s="165"/>
      <c r="AK131" s="152"/>
      <c r="AL131" s="152"/>
      <c r="AM131" s="153"/>
      <c r="AQ131" s="1"/>
    </row>
    <row r="132" ht="14.25" customHeight="1" spans="1:43" x14ac:dyDescent="0.25">
      <c r="A132" s="120" t="s">
        <v>87</v>
      </c>
      <c r="B132" s="186"/>
      <c r="C132" s="186"/>
      <c r="D132" s="186"/>
      <c r="E132" s="186"/>
      <c r="F132" s="186"/>
      <c r="G132" s="193"/>
      <c r="H132" s="193"/>
      <c r="I132" s="193"/>
      <c r="J132" s="193"/>
      <c r="K132" s="193"/>
      <c r="L132" s="193"/>
      <c r="M132" s="193"/>
      <c r="N132" s="193"/>
      <c r="O132" s="193"/>
      <c r="P132" s="193"/>
      <c r="Q132" s="193"/>
      <c r="R132" s="171"/>
      <c r="S132" s="121"/>
      <c r="T132" s="172" t="s">
        <v>88</v>
      </c>
      <c r="U132" s="1"/>
      <c r="V132" s="1"/>
      <c r="W132" s="1"/>
      <c r="X132" s="1"/>
      <c r="Y132" s="1"/>
      <c r="Z132" s="1"/>
      <c r="AB132" s="163"/>
      <c r="AC132" s="138"/>
      <c r="AE132" s="194" t="s">
        <v>89</v>
      </c>
      <c r="AF132" s="195"/>
      <c r="AG132" s="195"/>
      <c r="AH132" s="195"/>
      <c r="AI132" s="195"/>
      <c r="AJ132" s="195"/>
      <c r="AK132" s="196">
        <f>COUNTIF(AH13:AI62,"NLS")</f>
        <v>0</v>
      </c>
      <c r="AL132" s="196">
        <f>COUNTIF(AH64:AI113,"NLS")</f>
        <v>0</v>
      </c>
      <c r="AM132" s="167">
        <f>AK132+AL132</f>
        <v>0</v>
      </c>
      <c r="AQ132" s="1"/>
    </row>
    <row r="133" ht="15.75" customHeight="1" spans="1:43" x14ac:dyDescent="0.25">
      <c r="A133" s="158" t="s">
        <v>90</v>
      </c>
      <c r="B133" s="189" t="s">
        <v>91</v>
      </c>
      <c r="C133" s="189"/>
      <c r="D133" s="189"/>
      <c r="E133" s="189"/>
      <c r="F133" s="189"/>
      <c r="G133" s="1"/>
      <c r="H133" s="1"/>
      <c r="I133" s="1"/>
      <c r="J133" s="1"/>
      <c r="K133" s="1"/>
      <c r="L133" s="1"/>
      <c r="M133" s="1"/>
      <c r="N133" s="1"/>
      <c r="O133" s="1"/>
      <c r="P133" s="1"/>
      <c r="Q133" s="1"/>
      <c r="R133" s="120"/>
      <c r="S133" s="121"/>
      <c r="T133" s="172" t="s">
        <v>92</v>
      </c>
      <c r="U133" s="1"/>
      <c r="V133" s="1"/>
      <c r="W133" s="1"/>
      <c r="X133" s="1"/>
      <c r="Y133" s="1"/>
      <c r="Z133" s="1"/>
      <c r="AB133" s="3"/>
      <c r="AC133" s="138"/>
      <c r="AE133" s="194"/>
      <c r="AF133" s="195"/>
      <c r="AG133" s="195"/>
      <c r="AH133" s="195"/>
      <c r="AI133" s="195"/>
      <c r="AJ133" s="195"/>
      <c r="AK133" s="196"/>
      <c r="AL133" s="196"/>
      <c r="AM133" s="167"/>
      <c r="AQ133" s="1"/>
    </row>
    <row r="134" ht="15.75" customHeight="1" spans="7:43" x14ac:dyDescent="0.25">
      <c r="G134" s="119"/>
      <c r="H134" s="119"/>
      <c r="I134" s="119"/>
      <c r="J134" s="119"/>
      <c r="K134" s="197"/>
      <c r="L134" s="197"/>
      <c r="M134" s="197"/>
      <c r="N134" s="197"/>
      <c r="O134" s="1"/>
      <c r="P134" s="1"/>
      <c r="Q134" s="1"/>
      <c r="R134" s="1"/>
      <c r="S134" s="121"/>
      <c r="T134" s="172" t="s">
        <v>93</v>
      </c>
      <c r="U134" s="1"/>
      <c r="V134" s="1"/>
      <c r="W134" s="1"/>
      <c r="X134" s="1"/>
      <c r="Y134" s="1"/>
      <c r="Z134" s="1"/>
      <c r="AC134" s="138"/>
      <c r="AE134" s="194" t="s">
        <v>94</v>
      </c>
      <c r="AF134" s="195"/>
      <c r="AG134" s="195"/>
      <c r="AH134" s="195"/>
      <c r="AI134" s="195"/>
      <c r="AJ134" s="195"/>
      <c r="AK134" s="174">
        <f>COUNTIF(AH13:AI62,"Transferred Out")</f>
        <v>0</v>
      </c>
      <c r="AL134" s="174">
        <f>COUNTIF(AH64:AI113,"Transferred Out")</f>
        <v>0</v>
      </c>
      <c r="AM134" s="157">
        <f>AK134+AL134</f>
        <v>0</v>
      </c>
      <c r="AQ134" s="1"/>
    </row>
    <row r="135" ht="14.25" customHeight="1" spans="2:43" x14ac:dyDescent="0.25">
      <c r="B135" s="119"/>
      <c r="C135" s="119"/>
      <c r="D135" s="119"/>
      <c r="E135" s="119"/>
      <c r="F135" s="119"/>
      <c r="G135" s="119"/>
      <c r="H135" s="119"/>
      <c r="I135" s="119"/>
      <c r="J135" s="119"/>
      <c r="K135" s="1"/>
      <c r="L135" s="1"/>
      <c r="M135" s="1"/>
      <c r="N135" s="1"/>
      <c r="O135" s="1"/>
      <c r="P135" s="1"/>
      <c r="Q135" s="1"/>
      <c r="R135" s="1"/>
      <c r="S135" s="121"/>
      <c r="T135" s="162" t="s">
        <v>95</v>
      </c>
      <c r="U135" s="1"/>
      <c r="V135" s="1"/>
      <c r="W135" s="1"/>
      <c r="X135" s="1"/>
      <c r="Y135" s="1"/>
      <c r="Z135" s="163"/>
      <c r="AA135" s="163"/>
      <c r="AB135" s="163"/>
      <c r="AC135" s="138"/>
      <c r="AE135" s="194"/>
      <c r="AF135" s="195"/>
      <c r="AG135" s="195"/>
      <c r="AH135" s="195"/>
      <c r="AI135" s="195"/>
      <c r="AJ135" s="195"/>
      <c r="AK135" s="174"/>
      <c r="AL135" s="174"/>
      <c r="AM135" s="157"/>
      <c r="AQ135" s="1"/>
    </row>
    <row r="136" ht="15" customHeight="1" spans="2:43" x14ac:dyDescent="0.25">
      <c r="B136" s="198"/>
      <c r="C136" s="198"/>
      <c r="D136" s="198"/>
      <c r="E136" s="198"/>
      <c r="F136" s="198"/>
      <c r="G136" s="1"/>
      <c r="H136" s="1"/>
      <c r="I136" s="1"/>
      <c r="J136" s="1"/>
      <c r="K136" s="1"/>
      <c r="L136" s="1"/>
      <c r="M136" s="1"/>
      <c r="N136" s="1"/>
      <c r="O136" s="1"/>
      <c r="P136" s="1"/>
      <c r="Q136" s="1"/>
      <c r="R136" s="1"/>
      <c r="S136" s="121"/>
      <c r="T136" s="172" t="s">
        <v>96</v>
      </c>
      <c r="U136" s="1"/>
      <c r="V136" s="1"/>
      <c r="W136" s="1"/>
      <c r="X136" s="1"/>
      <c r="Y136" s="1"/>
      <c r="Z136" s="1"/>
      <c r="AC136" s="138"/>
      <c r="AD136" s="148"/>
      <c r="AE136" s="194" t="s">
        <v>97</v>
      </c>
      <c r="AF136" s="195"/>
      <c r="AG136" s="195"/>
      <c r="AH136" s="195"/>
      <c r="AI136" s="195"/>
      <c r="AJ136" s="195"/>
      <c r="AK136" s="174">
        <f>COUNTIF(AH13:AI62,"Transferred In")</f>
        <v>0</v>
      </c>
      <c r="AL136" s="174">
        <f>COUNTIF(AH64:AI113,"Transferred In")</f>
        <v>0</v>
      </c>
      <c r="AM136" s="157">
        <f>AK136+AL136</f>
        <v>0</v>
      </c>
      <c r="AQ136" s="1"/>
    </row>
    <row r="137" ht="15.75" customHeight="1" spans="2:43" x14ac:dyDescent="0.25">
      <c r="B137" s="198"/>
      <c r="C137" s="198"/>
      <c r="D137" s="198"/>
      <c r="E137" s="198"/>
      <c r="F137" s="198"/>
      <c r="G137" s="1"/>
      <c r="H137" s="1"/>
      <c r="I137" s="1"/>
      <c r="J137" s="1"/>
      <c r="K137" s="1"/>
      <c r="L137" s="1"/>
      <c r="M137" s="1"/>
      <c r="N137" s="1"/>
      <c r="O137" s="1"/>
      <c r="P137" s="1"/>
      <c r="Q137" s="1"/>
      <c r="R137" s="1"/>
      <c r="S137" s="121"/>
      <c r="T137" s="172" t="s">
        <v>98</v>
      </c>
      <c r="U137" s="1"/>
      <c r="V137" s="1"/>
      <c r="W137" s="1"/>
      <c r="X137" s="1"/>
      <c r="Y137" s="1"/>
      <c r="Z137" s="1"/>
      <c r="AC137" s="138"/>
      <c r="AE137" s="199"/>
      <c r="AF137" s="146"/>
      <c r="AG137" s="146"/>
      <c r="AH137" s="146"/>
      <c r="AI137" s="146"/>
      <c r="AJ137" s="146"/>
      <c r="AK137" s="200"/>
      <c r="AL137" s="200"/>
      <c r="AM137" s="201"/>
      <c r="AQ137" s="1"/>
    </row>
    <row r="138" ht="14.25" customHeight="1" spans="2:43" x14ac:dyDescent="0.25">
      <c r="B138" s="3"/>
      <c r="C138" s="3"/>
      <c r="D138" s="3"/>
      <c r="E138" s="3"/>
      <c r="F138" s="3"/>
      <c r="G138" s="1"/>
      <c r="H138" s="1"/>
      <c r="I138" s="1"/>
      <c r="J138" s="1"/>
      <c r="K138" s="1"/>
      <c r="L138" s="1"/>
      <c r="M138" s="1"/>
      <c r="N138" s="1"/>
      <c r="O138" s="1"/>
      <c r="P138" s="1"/>
      <c r="Q138" s="1"/>
      <c r="R138" s="1"/>
      <c r="S138" s="121"/>
      <c r="T138" s="172" t="s">
        <v>99</v>
      </c>
      <c r="U138" s="1"/>
      <c r="V138" s="1"/>
      <c r="W138" s="1"/>
      <c r="X138" s="1"/>
      <c r="Y138" s="1"/>
      <c r="Z138" s="1"/>
      <c r="AC138" s="138"/>
      <c r="AQ138" s="1"/>
    </row>
    <row r="139" spans="2:43" x14ac:dyDescent="0.25">
      <c r="B139" s="3"/>
      <c r="C139" s="3"/>
      <c r="D139" s="3"/>
      <c r="E139" s="3"/>
      <c r="F139" s="3"/>
      <c r="G139" s="3"/>
      <c r="H139" s="3"/>
      <c r="I139" s="3"/>
      <c r="J139" s="3"/>
      <c r="K139" s="1"/>
      <c r="L139" s="1"/>
      <c r="M139" s="1"/>
      <c r="N139" s="1"/>
      <c r="O139" s="1"/>
      <c r="P139" s="1"/>
      <c r="Q139" s="1"/>
      <c r="R139" s="1"/>
      <c r="S139" s="121"/>
      <c r="T139" s="162" t="s">
        <v>100</v>
      </c>
      <c r="U139" s="1"/>
      <c r="V139" s="1"/>
      <c r="W139" s="1"/>
      <c r="X139" s="1"/>
      <c r="Y139" s="1"/>
      <c r="Z139" s="1"/>
      <c r="AC139" s="138"/>
      <c r="AE139" s="202" t="s">
        <v>101</v>
      </c>
      <c r="AM139" s="203"/>
      <c r="AQ139" s="1"/>
    </row>
    <row r="140" spans="2:43" x14ac:dyDescent="0.25">
      <c r="B140" s="204"/>
      <c r="C140" s="204"/>
      <c r="D140" s="204"/>
      <c r="E140" s="204"/>
      <c r="F140" s="204"/>
      <c r="G140" s="3"/>
      <c r="H140" s="3"/>
      <c r="I140" s="3"/>
      <c r="J140" s="3"/>
      <c r="K140" s="1"/>
      <c r="L140" s="1"/>
      <c r="M140" s="1"/>
      <c r="N140" s="1"/>
      <c r="O140" s="1"/>
      <c r="P140" s="1"/>
      <c r="Q140" s="1"/>
      <c r="R140" s="1"/>
      <c r="S140" s="121"/>
      <c r="T140" s="172" t="s">
        <v>102</v>
      </c>
      <c r="U140" s="1"/>
      <c r="V140" s="1"/>
      <c r="W140" s="1"/>
      <c r="X140" s="1"/>
      <c r="Y140" s="1"/>
      <c r="Z140" s="1"/>
      <c r="AC140" s="138"/>
      <c r="AE140" s="205"/>
      <c r="AF140" s="205"/>
      <c r="AG140" s="205"/>
      <c r="AH140" s="205"/>
      <c r="AI140" s="205"/>
      <c r="AJ140" s="205"/>
      <c r="AK140" s="205"/>
      <c r="AL140" s="205"/>
      <c r="AM140" s="205"/>
      <c r="AQ140" s="1"/>
    </row>
    <row r="141" ht="12" customHeight="1" spans="2:43" x14ac:dyDescent="0.25">
      <c r="B141" s="204"/>
      <c r="C141" s="204"/>
      <c r="D141" s="204"/>
      <c r="E141" s="204"/>
      <c r="F141" s="204"/>
      <c r="G141" s="1"/>
      <c r="H141" s="1"/>
      <c r="I141" s="1"/>
      <c r="J141" s="1"/>
      <c r="K141" s="1"/>
      <c r="L141" s="1"/>
      <c r="M141" s="1"/>
      <c r="N141" s="1"/>
      <c r="O141" s="1"/>
      <c r="P141" s="1"/>
      <c r="Q141" s="1"/>
      <c r="R141" s="1"/>
      <c r="S141" s="121"/>
      <c r="T141" s="206" t="s">
        <v>103</v>
      </c>
      <c r="U141" s="1"/>
      <c r="V141" s="1"/>
      <c r="W141" s="1"/>
      <c r="X141" s="1"/>
      <c r="Y141" s="1"/>
      <c r="Z141" s="1"/>
      <c r="AA141" s="148"/>
      <c r="AB141" s="148"/>
      <c r="AC141" s="207"/>
      <c r="AE141" s="97"/>
      <c r="AF141" s="97"/>
      <c r="AG141" s="97"/>
      <c r="AH141" s="97"/>
      <c r="AI141" s="97"/>
      <c r="AJ141" s="97"/>
      <c r="AK141" s="97"/>
      <c r="AL141" s="97"/>
      <c r="AM141" s="97"/>
      <c r="AQ141" s="1"/>
    </row>
    <row r="142" spans="2:43" x14ac:dyDescent="0.25">
      <c r="B142" s="204"/>
      <c r="C142" s="204"/>
      <c r="D142" s="204"/>
      <c r="E142" s="204"/>
      <c r="F142" s="204"/>
      <c r="G142" s="1"/>
      <c r="H142" s="1"/>
      <c r="I142" s="1"/>
      <c r="J142" s="1"/>
      <c r="K142" s="1"/>
      <c r="L142" s="1"/>
      <c r="M142" s="1"/>
      <c r="N142" s="1"/>
      <c r="O142" s="1"/>
      <c r="P142" s="1"/>
      <c r="Q142" s="1"/>
      <c r="R142" s="1"/>
      <c r="S142" s="121"/>
      <c r="T142" s="1"/>
      <c r="U142" s="1"/>
      <c r="V142" s="1"/>
      <c r="W142" s="1"/>
      <c r="X142" s="1"/>
      <c r="Y142" s="1"/>
      <c r="Z142" s="1"/>
      <c r="AA142" s="148"/>
      <c r="AB142" s="148"/>
      <c r="AC142" s="207"/>
      <c r="AE142" s="208" t="s">
        <v>104</v>
      </c>
      <c r="AF142" s="208"/>
      <c r="AG142" s="208"/>
      <c r="AH142" s="208"/>
      <c r="AI142" s="208"/>
      <c r="AJ142" s="208"/>
      <c r="AK142" s="208"/>
      <c r="AL142" s="208"/>
      <c r="AM142" s="208"/>
      <c r="AQ142" s="1"/>
    </row>
    <row r="143" spans="2:43" x14ac:dyDescent="0.25">
      <c r="B143" s="204"/>
      <c r="C143" s="204"/>
      <c r="D143" s="204"/>
      <c r="E143" s="204"/>
      <c r="F143" s="204"/>
      <c r="G143" s="1"/>
      <c r="H143" s="1"/>
      <c r="I143" s="1"/>
      <c r="J143" s="1"/>
      <c r="K143" s="1"/>
      <c r="L143" s="1"/>
      <c r="M143" s="1"/>
      <c r="N143" s="1"/>
      <c r="O143" s="1"/>
      <c r="P143" s="1"/>
      <c r="Q143" s="1"/>
      <c r="R143" s="1"/>
      <c r="S143" s="1"/>
      <c r="T143" s="172" t="s">
        <v>105</v>
      </c>
      <c r="U143" s="1"/>
      <c r="V143" s="1"/>
      <c r="W143" s="1"/>
      <c r="X143" s="1"/>
      <c r="Y143" s="1"/>
      <c r="Z143" s="1"/>
      <c r="AC143" s="209"/>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2" t="s">
        <v>106</v>
      </c>
      <c r="U144" s="1"/>
      <c r="V144" s="1"/>
      <c r="W144" s="1"/>
      <c r="X144" s="1"/>
      <c r="Y144" s="1"/>
      <c r="Z144" s="1"/>
      <c r="AC144" s="209"/>
      <c r="AE144" s="1" t="s">
        <v>107</v>
      </c>
      <c r="AG144" s="202"/>
      <c r="AH144" s="202"/>
      <c r="AI144" s="202"/>
      <c r="AJ144" s="202"/>
      <c r="AK144" s="202"/>
      <c r="AL144" s="202"/>
      <c r="AQ144" s="1"/>
    </row>
    <row r="145" ht="27.65" customHeight="1" spans="1:43" x14ac:dyDescent="0.25">
      <c r="A145" s="210"/>
      <c r="B145" s="210"/>
      <c r="C145" s="210"/>
      <c r="D145" s="210"/>
      <c r="E145" s="210"/>
      <c r="F145" s="210"/>
      <c r="G145" s="1"/>
      <c r="H145" s="1"/>
      <c r="I145" s="1"/>
      <c r="J145" s="1"/>
      <c r="K145" s="1"/>
      <c r="L145" s="1"/>
      <c r="M145" s="1"/>
      <c r="N145" s="1"/>
      <c r="O145" s="1"/>
      <c r="P145" s="1"/>
      <c r="Q145" s="1"/>
      <c r="R145" s="1"/>
      <c r="S145" s="1"/>
      <c r="T145" s="172" t="s">
        <v>108</v>
      </c>
      <c r="U145" s="1"/>
      <c r="V145" s="1"/>
      <c r="W145" s="1"/>
      <c r="X145" s="1"/>
      <c r="Y145" s="1"/>
      <c r="Z145" s="1"/>
      <c r="AC145" s="209"/>
      <c r="AE145" s="97"/>
      <c r="AF145" s="97"/>
      <c r="AG145" s="97"/>
      <c r="AH145" s="97"/>
      <c r="AI145" s="97"/>
      <c r="AJ145" s="97"/>
      <c r="AK145" s="97"/>
      <c r="AL145" s="97"/>
      <c r="AM145" s="97"/>
      <c r="AQ145" s="1"/>
    </row>
    <row r="146" ht="14.25" customHeight="1" spans="1:43" x14ac:dyDescent="0.25">
      <c r="A146" s="210"/>
      <c r="B146" s="210"/>
      <c r="C146" s="210"/>
      <c r="D146" s="210"/>
      <c r="E146" s="210"/>
      <c r="F146" s="210"/>
      <c r="G146" s="1"/>
      <c r="H146" s="1"/>
      <c r="I146" s="1"/>
      <c r="J146" s="1"/>
      <c r="K146" s="1"/>
      <c r="L146" s="1"/>
      <c r="M146" s="1"/>
      <c r="N146" s="1"/>
      <c r="O146" s="1"/>
      <c r="P146" s="1"/>
      <c r="Q146" s="1"/>
      <c r="R146" s="1"/>
      <c r="S146" s="1"/>
      <c r="T146" s="211" t="s">
        <v>109</v>
      </c>
      <c r="U146" s="212"/>
      <c r="V146" s="212"/>
      <c r="W146" s="212"/>
      <c r="X146" s="212"/>
      <c r="Y146" s="212"/>
      <c r="Z146" s="212"/>
      <c r="AA146" s="212"/>
      <c r="AB146" s="212"/>
      <c r="AC146" s="213"/>
      <c r="AE146" s="208" t="s">
        <v>110</v>
      </c>
      <c r="AF146" s="208"/>
      <c r="AG146" s="208"/>
      <c r="AH146" s="208"/>
      <c r="AI146" s="208"/>
      <c r="AJ146" s="208"/>
      <c r="AK146" s="208"/>
      <c r="AL146" s="208"/>
      <c r="AM146" s="208"/>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1"/>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1"/>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1"/>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1"/>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1"/>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1"/>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1"/>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1"/>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1"/>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1"/>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1"/>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1"/>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1"/>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1"/>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1"/>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1"/>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1"/>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1"/>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1"/>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1"/>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1"/>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1"/>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1"/>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1"/>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1"/>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1"/>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1"/>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1"/>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1"/>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1"/>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1"/>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1"/>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1"/>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1"/>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1"/>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1"/>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1"/>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1"/>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1"/>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1"/>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1"/>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1"/>
    </row>
    <row r="55" ht="21.9" customHeight="1" spans="1:43" x14ac:dyDescent="0.25">
      <c r="A55" s="62">
        <v>43</v>
      </c>
      <c r="B55" s="77"/>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1"/>
    </row>
    <row r="56" ht="21.9" customHeight="1" spans="1:43" x14ac:dyDescent="0.25">
      <c r="A56" s="62">
        <v>44</v>
      </c>
      <c r="B56" s="77"/>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1"/>
    </row>
    <row r="57" ht="21.9" customHeight="1" spans="1:43" x14ac:dyDescent="0.25">
      <c r="A57" s="62">
        <v>45</v>
      </c>
      <c r="B57" s="77"/>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1"/>
    </row>
    <row r="58" ht="21.9" customHeight="1" spans="1:43" x14ac:dyDescent="0.25">
      <c r="A58" s="62">
        <v>46</v>
      </c>
      <c r="B58" s="77"/>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1"/>
    </row>
    <row r="59" ht="21.9" customHeight="1" spans="1:43" x14ac:dyDescent="0.25">
      <c r="A59" s="62">
        <v>47</v>
      </c>
      <c r="B59" s="77"/>
      <c r="C59" s="78"/>
      <c r="D59" s="78"/>
      <c r="E59" s="78"/>
      <c r="F59" s="78"/>
      <c r="G59" s="79"/>
      <c r="H59" s="80"/>
      <c r="I59" s="80"/>
      <c r="J59" s="80"/>
      <c r="K59" s="81"/>
      <c r="L59" s="82"/>
      <c r="M59" s="80"/>
      <c r="N59" s="80"/>
      <c r="O59" s="80"/>
      <c r="P59" s="83"/>
      <c r="Q59" s="79"/>
      <c r="R59" s="80"/>
      <c r="S59" s="80"/>
      <c r="T59" s="80"/>
      <c r="U59" s="81"/>
      <c r="V59" s="82"/>
      <c r="W59" s="80"/>
      <c r="X59" s="80"/>
      <c r="Y59" s="80"/>
      <c r="Z59" s="83"/>
      <c r="AA59" s="79"/>
      <c r="AB59" s="80"/>
      <c r="AC59" s="80"/>
      <c r="AD59" s="83"/>
      <c r="AE59" s="81"/>
      <c r="AF59" s="72">
        <f t="shared" si="0"/>
      </c>
      <c r="AG59" s="73">
        <f t="shared" si="2"/>
      </c>
      <c r="AH59" s="74"/>
      <c r="AI59" s="75"/>
      <c r="AJ59" s="75"/>
      <c r="AK59" s="75"/>
      <c r="AL59" s="75"/>
      <c r="AM59" s="76"/>
      <c r="AQ59" s="1"/>
    </row>
    <row r="60" ht="21.9" customHeight="1" spans="1:43" x14ac:dyDescent="0.25">
      <c r="A60" s="62">
        <v>48</v>
      </c>
      <c r="B60" s="77"/>
      <c r="C60" s="78"/>
      <c r="D60" s="78"/>
      <c r="E60" s="78"/>
      <c r="F60" s="78"/>
      <c r="G60" s="79"/>
      <c r="H60" s="80"/>
      <c r="I60" s="80"/>
      <c r="J60" s="80"/>
      <c r="K60" s="81"/>
      <c r="L60" s="82"/>
      <c r="M60" s="80"/>
      <c r="N60" s="80"/>
      <c r="O60" s="80"/>
      <c r="P60" s="83"/>
      <c r="Q60" s="79"/>
      <c r="R60" s="80"/>
      <c r="S60" s="80"/>
      <c r="T60" s="80"/>
      <c r="U60" s="81"/>
      <c r="V60" s="82"/>
      <c r="W60" s="80"/>
      <c r="X60" s="80"/>
      <c r="Y60" s="80"/>
      <c r="Z60" s="83"/>
      <c r="AA60" s="79"/>
      <c r="AB60" s="80"/>
      <c r="AC60" s="80"/>
      <c r="AD60" s="83"/>
      <c r="AE60" s="81"/>
      <c r="AF60" s="72">
        <f t="shared" si="0"/>
      </c>
      <c r="AG60" s="73">
        <f t="shared" si="2"/>
      </c>
      <c r="AH60" s="74"/>
      <c r="AI60" s="75"/>
      <c r="AJ60" s="75"/>
      <c r="AK60" s="75"/>
      <c r="AL60" s="75"/>
      <c r="AM60" s="76"/>
      <c r="AQ60" s="1"/>
    </row>
    <row r="61" ht="21.9" customHeight="1" spans="1:43" x14ac:dyDescent="0.25">
      <c r="A61" s="62">
        <v>49</v>
      </c>
      <c r="B61" s="77"/>
      <c r="C61" s="78"/>
      <c r="D61" s="78"/>
      <c r="E61" s="78"/>
      <c r="F61" s="78"/>
      <c r="G61" s="79"/>
      <c r="H61" s="80"/>
      <c r="I61" s="80"/>
      <c r="J61" s="80"/>
      <c r="K61" s="81"/>
      <c r="L61" s="82"/>
      <c r="M61" s="80"/>
      <c r="N61" s="80"/>
      <c r="O61" s="80"/>
      <c r="P61" s="83"/>
      <c r="Q61" s="79"/>
      <c r="R61" s="80"/>
      <c r="S61" s="80"/>
      <c r="T61" s="80"/>
      <c r="U61" s="81"/>
      <c r="V61" s="82"/>
      <c r="W61" s="80"/>
      <c r="X61" s="80"/>
      <c r="Y61" s="80"/>
      <c r="Z61" s="83"/>
      <c r="AA61" s="79"/>
      <c r="AB61" s="80"/>
      <c r="AC61" s="80"/>
      <c r="AD61" s="83"/>
      <c r="AE61" s="81"/>
      <c r="AF61" s="72">
        <f t="shared" si="0"/>
      </c>
      <c r="AG61" s="73">
        <f t="shared" si="2"/>
      </c>
      <c r="AH61" s="74"/>
      <c r="AI61" s="75"/>
      <c r="AJ61" s="75"/>
      <c r="AK61" s="75"/>
      <c r="AL61" s="75"/>
      <c r="AM61" s="76"/>
      <c r="AQ61" s="1"/>
    </row>
    <row r="62" ht="21.9" customHeight="1" spans="1:43" x14ac:dyDescent="0.25">
      <c r="A62" s="79">
        <v>50</v>
      </c>
      <c r="B62" s="84"/>
      <c r="C62" s="78"/>
      <c r="D62" s="78"/>
      <c r="E62" s="78"/>
      <c r="F62" s="78"/>
      <c r="G62" s="79"/>
      <c r="H62" s="80"/>
      <c r="I62" s="80"/>
      <c r="J62" s="80"/>
      <c r="K62" s="81"/>
      <c r="L62" s="82"/>
      <c r="M62" s="80"/>
      <c r="N62" s="80"/>
      <c r="O62" s="80"/>
      <c r="P62" s="83"/>
      <c r="Q62" s="79"/>
      <c r="R62" s="80"/>
      <c r="S62" s="80"/>
      <c r="T62" s="80"/>
      <c r="U62" s="81"/>
      <c r="V62" s="82"/>
      <c r="W62" s="80"/>
      <c r="X62" s="80"/>
      <c r="Y62" s="80"/>
      <c r="Z62" s="83"/>
      <c r="AA62" s="79"/>
      <c r="AB62" s="80"/>
      <c r="AC62" s="80"/>
      <c r="AD62" s="83"/>
      <c r="AE62" s="81"/>
      <c r="AF62" s="72">
        <f t="shared" si="0"/>
      </c>
      <c r="AG62" s="73">
        <f t="shared" si="2"/>
      </c>
      <c r="AH62" s="74"/>
      <c r="AI62" s="75"/>
      <c r="AJ62" s="85"/>
      <c r="AK62" s="85"/>
      <c r="AL62" s="85"/>
      <c r="AM62" s="86"/>
      <c r="AQ62" s="1"/>
    </row>
    <row r="63" ht="21.9" customHeight="1" spans="1:43" x14ac:dyDescent="0.25">
      <c r="A63" s="87"/>
      <c r="B63" s="88" t="s">
        <v>36</v>
      </c>
      <c r="C63" s="88"/>
      <c r="D63" s="88"/>
      <c r="E63" s="88"/>
      <c r="F63" s="88"/>
      <c r="G63" s="89">
        <f t="shared" ref="G63:AE63" si="3">IF(G10="","",COUNTA($B$13:$B$62)-(COUNTIF(G13:G62,"x")*1+COUNTIF(G13:G62,"h")*0.5))</f>
        <v>0</v>
      </c>
      <c r="H63" s="90">
        <f t="shared" si="3"/>
        <v>0</v>
      </c>
      <c r="I63" s="90">
        <f t="shared" si="3"/>
        <v>0</v>
      </c>
      <c r="J63" s="90">
        <f t="shared" si="3"/>
        <v>0</v>
      </c>
      <c r="K63" s="91">
        <f t="shared" si="3"/>
        <v>0</v>
      </c>
      <c r="L63" s="89">
        <f t="shared" si="3"/>
        <v>0</v>
      </c>
      <c r="M63" s="90">
        <f t="shared" si="3"/>
        <v>0</v>
      </c>
      <c r="N63" s="90">
        <f t="shared" si="3"/>
        <v>0</v>
      </c>
      <c r="O63" s="90">
        <f t="shared" si="3"/>
        <v>0</v>
      </c>
      <c r="P63" s="91">
        <f t="shared" si="3"/>
        <v>0</v>
      </c>
      <c r="Q63" s="89">
        <f t="shared" si="3"/>
        <v>0</v>
      </c>
      <c r="R63" s="90">
        <f t="shared" si="3"/>
        <v>0</v>
      </c>
      <c r="S63" s="90">
        <f t="shared" si="3"/>
        <v>0</v>
      </c>
      <c r="T63" s="90">
        <f t="shared" si="3"/>
        <v>0</v>
      </c>
      <c r="U63" s="91">
        <f t="shared" si="3"/>
        <v>0</v>
      </c>
      <c r="V63" s="89">
        <f t="shared" si="3"/>
        <v>0</v>
      </c>
      <c r="W63" s="90">
        <f t="shared" si="3"/>
        <v>0</v>
      </c>
      <c r="X63" s="90">
        <f t="shared" si="3"/>
        <v>0</v>
      </c>
      <c r="Y63" s="90">
        <f t="shared" si="3"/>
        <v>0</v>
      </c>
      <c r="Z63" s="91">
        <f t="shared" si="3"/>
        <v>0</v>
      </c>
      <c r="AA63" s="89">
        <f t="shared" si="3"/>
        <v>0</v>
      </c>
      <c r="AB63" s="90">
        <f t="shared" si="3"/>
        <v>0</v>
      </c>
      <c r="AC63" s="90">
        <f t="shared" si="3"/>
        <v>0</v>
      </c>
      <c r="AD63" s="90">
        <f t="shared" si="3"/>
      </c>
      <c r="AE63" s="91">
        <f t="shared" si="3"/>
      </c>
      <c r="AF63" s="92">
        <f>SUM(AF13:AF62)</f>
        <v>0</v>
      </c>
      <c r="AG63" s="93">
        <f>SUM(AG13:AG62)</f>
        <v>0</v>
      </c>
      <c r="AH63" s="94"/>
      <c r="AI63" s="95"/>
      <c r="AJ63" s="95"/>
      <c r="AK63" s="95"/>
      <c r="AL63" s="95"/>
      <c r="AM63" s="96"/>
      <c r="AQ63" s="1"/>
    </row>
    <row r="64" ht="21.9" customHeight="1" spans="1:43" x14ac:dyDescent="0.25">
      <c r="A64" s="62">
        <v>1</v>
      </c>
      <c r="B64" s="63" t="s">
        <v>37</v>
      </c>
      <c r="C64" s="97"/>
      <c r="D64" s="97"/>
      <c r="E64" s="97"/>
      <c r="F64" s="97"/>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1"/>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1"/>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1"/>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1"/>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1"/>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1"/>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1"/>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1"/>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1"/>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1"/>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1"/>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1"/>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1"/>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1"/>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1"/>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1"/>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1"/>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1"/>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1"/>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1"/>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1"/>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1"/>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1"/>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1"/>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1"/>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1"/>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1"/>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1"/>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1"/>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1"/>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1"/>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1"/>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1"/>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1"/>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1"/>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1"/>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1"/>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1"/>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1"/>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1"/>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1"/>
    </row>
    <row r="105" ht="21.9" customHeight="1" spans="1:43" x14ac:dyDescent="0.25">
      <c r="A105" s="62">
        <v>42</v>
      </c>
      <c r="B105" s="77"/>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1"/>
    </row>
    <row r="106" ht="21.9" customHeight="1" spans="1:43" x14ac:dyDescent="0.25">
      <c r="A106" s="62">
        <v>43</v>
      </c>
      <c r="B106" s="77"/>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1"/>
    </row>
    <row r="107" ht="21.9" customHeight="1" spans="1:43" x14ac:dyDescent="0.25">
      <c r="A107" s="62">
        <v>44</v>
      </c>
      <c r="B107" s="77"/>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1"/>
    </row>
    <row r="108" ht="21.9" customHeight="1" spans="1:43" x14ac:dyDescent="0.25">
      <c r="A108" s="62">
        <v>45</v>
      </c>
      <c r="B108" s="77"/>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1"/>
    </row>
    <row r="109" ht="21.9" customHeight="1" spans="1:43" x14ac:dyDescent="0.25">
      <c r="A109" s="62">
        <v>46</v>
      </c>
      <c r="B109" s="77"/>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1"/>
    </row>
    <row r="110" ht="21.9" customHeight="1" spans="1:43" x14ac:dyDescent="0.25">
      <c r="A110" s="62">
        <v>47</v>
      </c>
      <c r="B110" s="77"/>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1"/>
    </row>
    <row r="111" ht="21.9" customHeight="1" spans="1:43" x14ac:dyDescent="0.25">
      <c r="A111" s="62">
        <v>48</v>
      </c>
      <c r="B111" s="77"/>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1"/>
    </row>
    <row r="112" ht="21.9" customHeight="1" spans="1:43" x14ac:dyDescent="0.25">
      <c r="A112" s="62">
        <v>49</v>
      </c>
      <c r="B112" s="77"/>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1"/>
    </row>
    <row r="113" ht="21.9" customHeight="1" spans="1:43" x14ac:dyDescent="0.25">
      <c r="A113" s="79">
        <v>50</v>
      </c>
      <c r="B113" s="84"/>
      <c r="C113" s="78"/>
      <c r="D113" s="78"/>
      <c r="E113" s="78"/>
      <c r="F113" s="78"/>
      <c r="G113" s="79"/>
      <c r="H113" s="80"/>
      <c r="I113" s="80"/>
      <c r="J113" s="80"/>
      <c r="K113" s="81"/>
      <c r="L113" s="82"/>
      <c r="M113" s="80"/>
      <c r="N113" s="80"/>
      <c r="O113" s="80"/>
      <c r="P113" s="83"/>
      <c r="Q113" s="79"/>
      <c r="R113" s="80"/>
      <c r="S113" s="80"/>
      <c r="T113" s="80"/>
      <c r="U113" s="81"/>
      <c r="V113" s="82"/>
      <c r="W113" s="80"/>
      <c r="X113" s="80"/>
      <c r="Y113" s="80"/>
      <c r="Z113" s="83"/>
      <c r="AA113" s="79"/>
      <c r="AB113" s="80"/>
      <c r="AC113" s="80"/>
      <c r="AD113" s="83"/>
      <c r="AE113" s="81"/>
      <c r="AF113" s="98">
        <f t="shared" si="4"/>
      </c>
      <c r="AG113" s="99">
        <f t="shared" si="5"/>
      </c>
      <c r="AH113" s="100"/>
      <c r="AI113" s="85"/>
      <c r="AJ113" s="85"/>
      <c r="AK113" s="85"/>
      <c r="AL113" s="85"/>
      <c r="AM113" s="86"/>
      <c r="AQ113" s="1"/>
    </row>
    <row r="114" ht="21.9" customHeight="1" spans="1:43" x14ac:dyDescent="0.25">
      <c r="A114" s="101" t="s">
        <v>42</v>
      </c>
      <c r="B114" s="88"/>
      <c r="C114" s="88"/>
      <c r="D114" s="88"/>
      <c r="E114" s="88"/>
      <c r="F114" s="88"/>
      <c r="G114" s="102">
        <f t="shared" ref="G114:AE114" si="6">IF(G10="","",COUNTA($B$64:$B$113)-(COUNTIF(G64:G113,"x")+COUNTIF(G64:G113,"h")*0.5))</f>
        <v>0</v>
      </c>
      <c r="H114" s="90">
        <f t="shared" si="6"/>
        <v>0</v>
      </c>
      <c r="I114" s="90">
        <f t="shared" si="6"/>
        <v>0</v>
      </c>
      <c r="J114" s="90">
        <f t="shared" si="6"/>
        <v>0</v>
      </c>
      <c r="K114" s="91">
        <f t="shared" si="6"/>
        <v>0</v>
      </c>
      <c r="L114" s="102">
        <f t="shared" si="6"/>
        <v>0</v>
      </c>
      <c r="M114" s="90">
        <f t="shared" si="6"/>
        <v>0</v>
      </c>
      <c r="N114" s="90">
        <f t="shared" si="6"/>
        <v>0</v>
      </c>
      <c r="O114" s="90">
        <f t="shared" si="6"/>
        <v>0</v>
      </c>
      <c r="P114" s="91">
        <f t="shared" si="6"/>
        <v>0</v>
      </c>
      <c r="Q114" s="102">
        <f t="shared" si="6"/>
        <v>0</v>
      </c>
      <c r="R114" s="90">
        <f t="shared" si="6"/>
        <v>0</v>
      </c>
      <c r="S114" s="90">
        <f t="shared" si="6"/>
        <v>0</v>
      </c>
      <c r="T114" s="90">
        <f t="shared" si="6"/>
        <v>0</v>
      </c>
      <c r="U114" s="91">
        <f t="shared" si="6"/>
        <v>0</v>
      </c>
      <c r="V114" s="102">
        <f t="shared" si="6"/>
        <v>0</v>
      </c>
      <c r="W114" s="90">
        <f t="shared" si="6"/>
        <v>0</v>
      </c>
      <c r="X114" s="90">
        <f t="shared" si="6"/>
        <v>0</v>
      </c>
      <c r="Y114" s="90">
        <f t="shared" si="6"/>
        <v>0</v>
      </c>
      <c r="Z114" s="91">
        <f t="shared" si="6"/>
        <v>0</v>
      </c>
      <c r="AA114" s="102">
        <f t="shared" si="6"/>
        <v>0</v>
      </c>
      <c r="AB114" s="90">
        <f t="shared" si="6"/>
        <v>0</v>
      </c>
      <c r="AC114" s="90">
        <f t="shared" si="6"/>
        <v>0</v>
      </c>
      <c r="AD114" s="90">
        <f t="shared" si="6"/>
      </c>
      <c r="AE114" s="91">
        <f t="shared" si="6"/>
      </c>
      <c r="AF114" s="92">
        <f>SUM(AF64:AF113)</f>
        <v>0</v>
      </c>
      <c r="AG114" s="93">
        <f>SUM(AG64:AG113)</f>
        <v>0</v>
      </c>
      <c r="AH114" s="103"/>
      <c r="AI114" s="104"/>
      <c r="AJ114" s="104"/>
      <c r="AK114" s="104"/>
      <c r="AL114" s="104"/>
      <c r="AM114" s="105"/>
      <c r="AQ114" s="1"/>
    </row>
    <row r="115" ht="21.9" customHeight="1" spans="1:43" x14ac:dyDescent="0.25">
      <c r="A115" s="106" t="s">
        <v>43</v>
      </c>
      <c r="B115" s="106"/>
      <c r="C115" s="107"/>
      <c r="D115" s="107"/>
      <c r="E115" s="107"/>
      <c r="F115" s="107"/>
      <c r="G115" s="108">
        <f t="shared" ref="G115:AE115" si="7">IF(G10="","",G63+G114)</f>
        <v>0</v>
      </c>
      <c r="H115" s="109">
        <f t="shared" si="7"/>
        <v>0</v>
      </c>
      <c r="I115" s="109">
        <f t="shared" si="7"/>
        <v>0</v>
      </c>
      <c r="J115" s="109">
        <f t="shared" si="7"/>
        <v>0</v>
      </c>
      <c r="K115" s="110">
        <f t="shared" si="7"/>
        <v>0</v>
      </c>
      <c r="L115" s="108">
        <f t="shared" si="7"/>
        <v>0</v>
      </c>
      <c r="M115" s="109">
        <f t="shared" si="7"/>
        <v>0</v>
      </c>
      <c r="N115" s="109">
        <f t="shared" si="7"/>
        <v>0</v>
      </c>
      <c r="O115" s="109">
        <f t="shared" si="7"/>
        <v>0</v>
      </c>
      <c r="P115" s="110">
        <f t="shared" si="7"/>
        <v>0</v>
      </c>
      <c r="Q115" s="108">
        <f t="shared" si="7"/>
        <v>0</v>
      </c>
      <c r="R115" s="109">
        <f t="shared" si="7"/>
        <v>0</v>
      </c>
      <c r="S115" s="109">
        <f t="shared" si="7"/>
        <v>0</v>
      </c>
      <c r="T115" s="109">
        <f t="shared" si="7"/>
        <v>0</v>
      </c>
      <c r="U115" s="110">
        <f t="shared" si="7"/>
        <v>0</v>
      </c>
      <c r="V115" s="108">
        <f t="shared" si="7"/>
        <v>0</v>
      </c>
      <c r="W115" s="109">
        <f t="shared" si="7"/>
        <v>0</v>
      </c>
      <c r="X115" s="109">
        <f t="shared" si="7"/>
        <v>0</v>
      </c>
      <c r="Y115" s="109">
        <f t="shared" si="7"/>
        <v>0</v>
      </c>
      <c r="Z115" s="110">
        <f t="shared" si="7"/>
        <v>0</v>
      </c>
      <c r="AA115" s="108">
        <f t="shared" si="7"/>
        <v>0</v>
      </c>
      <c r="AB115" s="109">
        <f t="shared" si="7"/>
        <v>0</v>
      </c>
      <c r="AC115" s="109">
        <f t="shared" si="7"/>
        <v>0</v>
      </c>
      <c r="AD115" s="109">
        <f t="shared" si="7"/>
      </c>
      <c r="AE115" s="110">
        <f t="shared" si="7"/>
      </c>
      <c r="AF115" s="111">
        <f>AF63+AF114</f>
        <v>0</v>
      </c>
      <c r="AG115" s="112">
        <f>AG63+AG114</f>
        <v>0</v>
      </c>
      <c r="AH115" s="113"/>
      <c r="AI115" s="114"/>
      <c r="AJ115" s="114"/>
      <c r="AK115" s="114"/>
      <c r="AL115" s="114"/>
      <c r="AM115" s="115"/>
      <c r="AQ115" s="1"/>
    </row>
    <row r="116" ht="6.75" customHeight="1" spans="1:43" x14ac:dyDescent="0.25">
      <c r="A116" s="116"/>
      <c r="B116" s="116"/>
      <c r="C116" s="116"/>
      <c r="D116" s="116"/>
      <c r="E116" s="116"/>
      <c r="F116" s="116"/>
      <c r="G116" s="117"/>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18" t="s">
        <v>44</v>
      </c>
      <c r="B117" s="119"/>
      <c r="C117" s="119"/>
      <c r="D117" s="119"/>
      <c r="E117" s="119"/>
      <c r="F117" s="119"/>
      <c r="G117" s="120"/>
      <c r="H117" s="120"/>
      <c r="I117" s="120"/>
      <c r="J117" s="120"/>
      <c r="K117" s="120"/>
      <c r="L117" s="120"/>
      <c r="M117" s="120"/>
      <c r="N117" s="120"/>
      <c r="O117" s="120"/>
      <c r="P117" s="120"/>
      <c r="Q117" s="120"/>
      <c r="R117" s="120"/>
      <c r="S117" s="121"/>
      <c r="T117" s="122" t="s">
        <v>45</v>
      </c>
      <c r="U117" s="123"/>
      <c r="V117" s="123"/>
      <c r="W117" s="123"/>
      <c r="X117" s="123"/>
      <c r="Y117" s="124"/>
      <c r="Z117" s="124"/>
      <c r="AA117" s="124"/>
      <c r="AB117" s="125"/>
      <c r="AC117" s="126"/>
      <c r="AE117" s="127" t="s">
        <v>46</v>
      </c>
      <c r="AF117" s="128"/>
      <c r="AG117" s="129">
        <f>AA6</f>
        <v>NaN</v>
      </c>
      <c r="AH117" s="130" t="s">
        <v>47</v>
      </c>
      <c r="AI117" s="131"/>
      <c r="AJ117" s="132">
        <f>AQ9</f>
        <v>23</v>
      </c>
      <c r="AK117" s="133" t="s">
        <v>48</v>
      </c>
      <c r="AL117" s="133"/>
      <c r="AM117" s="134"/>
      <c r="AQ117" s="1"/>
    </row>
    <row r="118" ht="15" customHeight="1" spans="1:43" x14ac:dyDescent="0.25">
      <c r="A118" s="135" t="s">
        <v>49</v>
      </c>
      <c r="B118" s="135"/>
      <c r="C118" s="135"/>
      <c r="D118" s="135"/>
      <c r="E118" s="135"/>
      <c r="F118" s="135"/>
      <c r="G118" s="1"/>
      <c r="H118" s="1"/>
      <c r="I118" s="1"/>
      <c r="J118" s="1"/>
      <c r="K118" s="1"/>
      <c r="L118" s="1"/>
      <c r="M118" s="1"/>
      <c r="N118" s="1"/>
      <c r="O118" s="1"/>
      <c r="P118" s="1"/>
      <c r="Q118" s="1"/>
      <c r="R118" s="120"/>
      <c r="S118" s="121"/>
      <c r="T118" s="136" t="s">
        <v>50</v>
      </c>
      <c r="U118" s="1"/>
      <c r="V118" s="1"/>
      <c r="W118" s="1"/>
      <c r="X118" s="1"/>
      <c r="Y118" s="1"/>
      <c r="Z118" s="1"/>
      <c r="AA118" s="1"/>
      <c r="AB118" s="1"/>
      <c r="AC118" s="138"/>
      <c r="AE118" s="139"/>
      <c r="AF118" s="140"/>
      <c r="AG118" s="141"/>
      <c r="AH118" s="142"/>
      <c r="AI118" s="143"/>
      <c r="AJ118" s="144"/>
      <c r="AK118" s="145" t="s">
        <v>16</v>
      </c>
      <c r="AL118" s="146" t="s">
        <v>20</v>
      </c>
      <c r="AM118" s="147" t="s">
        <v>51</v>
      </c>
      <c r="AQ118" s="1"/>
    </row>
    <row r="119" ht="15.5" customHeight="1" spans="1:43" x14ac:dyDescent="0.25">
      <c r="A119" s="135" t="s">
        <v>52</v>
      </c>
      <c r="B119" s="135"/>
      <c r="C119" s="135"/>
      <c r="D119" s="135"/>
      <c r="E119" s="135"/>
      <c r="F119" s="135"/>
      <c r="G119" s="1"/>
      <c r="H119" s="1"/>
      <c r="I119" s="1"/>
      <c r="J119" s="1"/>
      <c r="K119" s="1"/>
      <c r="L119" s="1"/>
      <c r="M119" s="1"/>
      <c r="N119" s="1"/>
      <c r="O119" s="1"/>
      <c r="P119" s="1"/>
      <c r="Q119" s="1"/>
      <c r="R119" s="120"/>
      <c r="S119" s="121"/>
      <c r="T119" s="1"/>
      <c r="U119" s="1"/>
      <c r="V119" s="1"/>
      <c r="W119" s="1"/>
      <c r="X119" s="1"/>
      <c r="Y119" s="1"/>
      <c r="Z119" s="1"/>
      <c r="AA119" s="1"/>
      <c r="AB119" s="1"/>
      <c r="AC119" s="138"/>
      <c r="AE119" s="149" t="s">
        <v>53</v>
      </c>
      <c r="AF119" s="150"/>
      <c r="AG119" s="150"/>
      <c r="AH119" s="150"/>
      <c r="AI119" s="150"/>
      <c r="AJ119" s="151"/>
      <c r="AK119" s="152"/>
      <c r="AL119" s="152"/>
      <c r="AM119" s="153">
        <f>AK119+AL119</f>
        <v>0</v>
      </c>
      <c r="AQ119" s="1"/>
    </row>
    <row r="120" ht="15.75" customHeight="1" spans="1:43" x14ac:dyDescent="0.25">
      <c r="A120" s="135" t="s">
        <v>54</v>
      </c>
      <c r="B120" s="135"/>
      <c r="C120" s="135"/>
      <c r="D120" s="135"/>
      <c r="E120" s="135"/>
      <c r="F120" s="135"/>
      <c r="G120" s="1"/>
      <c r="H120" s="1"/>
      <c r="I120" s="1"/>
      <c r="J120" s="1"/>
      <c r="K120" s="1"/>
      <c r="L120" s="1"/>
      <c r="M120" s="1"/>
      <c r="N120" s="1"/>
      <c r="O120" s="1"/>
      <c r="P120" s="1"/>
      <c r="Q120" s="1"/>
      <c r="R120" s="120"/>
      <c r="S120" s="121"/>
      <c r="T120" s="1"/>
      <c r="U120" s="1"/>
      <c r="V120" s="1"/>
      <c r="W120" s="1"/>
      <c r="X120" s="1"/>
      <c r="Y120" s="1"/>
      <c r="Z120" s="1"/>
      <c r="AA120" s="1"/>
      <c r="AB120" s="1"/>
      <c r="AC120" s="138"/>
      <c r="AE120" s="154"/>
      <c r="AF120" s="155"/>
      <c r="AG120" s="155"/>
      <c r="AH120" s="155"/>
      <c r="AI120" s="155"/>
      <c r="AJ120" s="156"/>
      <c r="AK120" s="31"/>
      <c r="AL120" s="31"/>
      <c r="AM120" s="157"/>
      <c r="AQ120" s="1"/>
    </row>
    <row r="121" ht="15.75" customHeight="1" spans="1:43" x14ac:dyDescent="0.25">
      <c r="A121" s="158" t="s">
        <v>55</v>
      </c>
      <c r="B121" s="159" t="s">
        <v>56</v>
      </c>
      <c r="C121" s="159"/>
      <c r="D121" s="159"/>
      <c r="E121" s="159"/>
      <c r="F121" s="159"/>
      <c r="G121" s="160" t="s">
        <v>57</v>
      </c>
      <c r="H121" s="1"/>
      <c r="I121" s="1"/>
      <c r="J121" s="1"/>
      <c r="K121" s="1"/>
      <c r="L121" s="1"/>
      <c r="M121" s="1"/>
      <c r="N121" s="1"/>
      <c r="O121" s="1"/>
      <c r="P121" s="1"/>
      <c r="Q121" s="161" t="s">
        <v>58</v>
      </c>
      <c r="R121" s="1"/>
      <c r="S121" s="121"/>
      <c r="T121" s="162" t="s">
        <v>59</v>
      </c>
      <c r="U121" s="1"/>
      <c r="V121" s="1"/>
      <c r="W121" s="1"/>
      <c r="X121" s="1"/>
      <c r="Y121" s="3"/>
      <c r="Z121" s="1"/>
      <c r="AA121" s="1"/>
      <c r="AB121" s="163"/>
      <c r="AC121" s="138"/>
      <c r="AE121" s="164" t="s">
        <v>60</v>
      </c>
      <c r="AF121" s="165"/>
      <c r="AG121" s="165"/>
      <c r="AH121" s="165"/>
      <c r="AI121" s="165"/>
      <c r="AJ121" s="165"/>
      <c r="AK121" s="166">
        <v>0</v>
      </c>
      <c r="AL121" s="166">
        <v>0</v>
      </c>
      <c r="AM121" s="167">
        <f>AK121+AL121</f>
        <v>0</v>
      </c>
      <c r="AQ121" s="1"/>
    </row>
    <row r="122" ht="15.75" customHeight="1" spans="1:43" x14ac:dyDescent="0.25">
      <c r="A122" s="158"/>
      <c r="B122" s="159"/>
      <c r="C122" s="159"/>
      <c r="D122" s="159"/>
      <c r="E122" s="159"/>
      <c r="F122" s="159"/>
      <c r="G122" s="168" t="s">
        <v>61</v>
      </c>
      <c r="H122" s="1"/>
      <c r="I122" s="1"/>
      <c r="J122" s="1"/>
      <c r="K122" s="1"/>
      <c r="L122" s="1"/>
      <c r="M122" s="1"/>
      <c r="N122" s="1"/>
      <c r="O122" s="1"/>
      <c r="P122" s="1"/>
      <c r="Q122" s="1"/>
      <c r="R122" s="1"/>
      <c r="S122" s="121"/>
      <c r="T122" s="162" t="s">
        <v>62</v>
      </c>
      <c r="U122" s="3"/>
      <c r="V122" s="3"/>
      <c r="W122" s="3"/>
      <c r="X122" s="3"/>
      <c r="Y122" s="3"/>
      <c r="Z122" s="1"/>
      <c r="AA122" s="1"/>
      <c r="AB122" s="163"/>
      <c r="AC122" s="138"/>
      <c r="AE122" s="164"/>
      <c r="AF122" s="165"/>
      <c r="AG122" s="165"/>
      <c r="AH122" s="165"/>
      <c r="AI122" s="165"/>
      <c r="AJ122" s="165"/>
      <c r="AK122" s="166"/>
      <c r="AL122" s="166"/>
      <c r="AM122" s="167"/>
      <c r="AQ122" s="1"/>
    </row>
    <row r="123" ht="18" customHeight="1" spans="1:43" x14ac:dyDescent="0.25">
      <c r="A123" s="158" t="s">
        <v>63</v>
      </c>
      <c r="B123" s="169" t="s">
        <v>64</v>
      </c>
      <c r="C123" s="169"/>
      <c r="D123" s="169"/>
      <c r="E123" s="169"/>
      <c r="F123" s="169"/>
      <c r="G123" s="170" t="s">
        <v>65</v>
      </c>
      <c r="H123" s="1"/>
      <c r="I123" s="1"/>
      <c r="J123" s="1"/>
      <c r="K123" s="1"/>
      <c r="L123" s="1"/>
      <c r="M123" s="1"/>
      <c r="N123" s="1"/>
      <c r="O123" s="1"/>
      <c r="P123" s="1"/>
      <c r="Q123" s="171"/>
      <c r="R123" s="120"/>
      <c r="S123" s="121"/>
      <c r="T123" s="172" t="s">
        <v>66</v>
      </c>
      <c r="U123" s="3"/>
      <c r="V123" s="3"/>
      <c r="W123" s="3"/>
      <c r="X123" s="3"/>
      <c r="Y123" s="3"/>
      <c r="Z123" s="1"/>
      <c r="AA123" s="1"/>
      <c r="AB123" s="163"/>
      <c r="AC123" s="138"/>
      <c r="AE123" s="164" t="s">
        <v>67</v>
      </c>
      <c r="AF123" s="165"/>
      <c r="AG123" s="165"/>
      <c r="AH123" s="165"/>
      <c r="AI123" s="165"/>
      <c r="AJ123" s="165"/>
      <c r="AK123" s="173">
        <f>COUNTA($B$13:$B$62)</f>
        <v>0</v>
      </c>
      <c r="AL123" s="173">
        <f>COUNTA($B$64:$B$113)</f>
        <v>0</v>
      </c>
      <c r="AM123" s="153">
        <f>AK123+AL123</f>
        <v>0</v>
      </c>
      <c r="AQ123" s="1"/>
    </row>
    <row r="124" ht="14.25" customHeight="1" spans="1:43" x14ac:dyDescent="0.25">
      <c r="A124" s="158"/>
      <c r="B124" s="169"/>
      <c r="C124" s="169"/>
      <c r="D124" s="169"/>
      <c r="E124" s="169"/>
      <c r="F124" s="169"/>
      <c r="G124" s="168" t="s">
        <v>68</v>
      </c>
      <c r="H124" s="1"/>
      <c r="I124" s="1"/>
      <c r="J124" s="1"/>
      <c r="K124" s="1"/>
      <c r="L124" s="1"/>
      <c r="M124" s="1"/>
      <c r="N124" s="1"/>
      <c r="O124" s="1"/>
      <c r="P124" s="1"/>
      <c r="Q124" s="120"/>
      <c r="R124" s="120"/>
      <c r="S124" s="121"/>
      <c r="T124" s="172" t="s">
        <v>69</v>
      </c>
      <c r="U124" s="1"/>
      <c r="V124" s="1"/>
      <c r="W124" s="1"/>
      <c r="X124" s="1"/>
      <c r="Y124" s="3"/>
      <c r="Z124" s="1"/>
      <c r="AA124" s="1"/>
      <c r="AB124" s="163"/>
      <c r="AC124" s="138"/>
      <c r="AE124" s="164"/>
      <c r="AF124" s="165"/>
      <c r="AG124" s="165"/>
      <c r="AH124" s="165"/>
      <c r="AI124" s="165"/>
      <c r="AJ124" s="165"/>
      <c r="AK124" s="174"/>
      <c r="AL124" s="174"/>
      <c r="AM124" s="157"/>
      <c r="AQ124" s="1"/>
    </row>
    <row r="125" ht="15.75" customHeight="1" spans="1:43" x14ac:dyDescent="0.25">
      <c r="A125" s="175" t="s">
        <v>70</v>
      </c>
      <c r="B125" s="159" t="s">
        <v>71</v>
      </c>
      <c r="C125" s="159"/>
      <c r="D125" s="159"/>
      <c r="E125" s="159"/>
      <c r="F125" s="159"/>
      <c r="G125" s="160" t="s">
        <v>72</v>
      </c>
      <c r="H125" s="1"/>
      <c r="I125" s="1"/>
      <c r="J125" s="1"/>
      <c r="K125" s="1"/>
      <c r="L125" s="1"/>
      <c r="M125" s="1"/>
      <c r="N125" s="1"/>
      <c r="O125" s="1"/>
      <c r="P125" s="1"/>
      <c r="Q125" s="161" t="s">
        <v>58</v>
      </c>
      <c r="R125" s="1"/>
      <c r="S125" s="121"/>
      <c r="T125" s="172" t="s">
        <v>73</v>
      </c>
      <c r="U125" s="1"/>
      <c r="V125" s="1"/>
      <c r="W125" s="1"/>
      <c r="X125" s="1"/>
      <c r="Y125" s="1"/>
      <c r="Z125" s="1"/>
      <c r="AA125" s="1"/>
      <c r="AB125" s="163"/>
      <c r="AC125" s="138"/>
      <c r="AE125" s="176" t="s">
        <v>74</v>
      </c>
      <c r="AF125" s="177"/>
      <c r="AG125" s="177"/>
      <c r="AH125" s="177"/>
      <c r="AI125" s="177"/>
      <c r="AJ125" s="177"/>
      <c r="AK125" s="178" t="e">
        <f>AK123/AK119</f>
        <v>#DIV/0!</v>
      </c>
      <c r="AL125" s="178" t="e">
        <f>AL123/AL119</f>
        <v>#DIV/0!</v>
      </c>
      <c r="AM125" s="179" t="e">
        <f>AM123/AM119</f>
        <v>#DIV/0!</v>
      </c>
      <c r="AQ125" s="1"/>
    </row>
    <row r="126" ht="19.5" customHeight="1" spans="1:43" x14ac:dyDescent="0.25">
      <c r="A126" s="175"/>
      <c r="B126" s="159"/>
      <c r="C126" s="159"/>
      <c r="D126" s="159"/>
      <c r="E126" s="159"/>
      <c r="F126" s="159"/>
      <c r="G126" s="161" t="s">
        <v>75</v>
      </c>
      <c r="H126" s="1"/>
      <c r="I126" s="1"/>
      <c r="J126" s="1"/>
      <c r="K126" s="1"/>
      <c r="L126" s="1"/>
      <c r="M126" s="1"/>
      <c r="N126" s="1"/>
      <c r="O126" s="1"/>
      <c r="P126" s="1"/>
      <c r="Q126" s="1"/>
      <c r="R126" s="1"/>
      <c r="S126" s="121"/>
      <c r="T126" s="172" t="s">
        <v>76</v>
      </c>
      <c r="U126" s="1"/>
      <c r="V126" s="1"/>
      <c r="W126" s="1"/>
      <c r="X126" s="1"/>
      <c r="Y126" s="1"/>
      <c r="Z126" s="1"/>
      <c r="AA126" s="1"/>
      <c r="AB126" s="163"/>
      <c r="AC126" s="138"/>
      <c r="AE126" s="176"/>
      <c r="AF126" s="177"/>
      <c r="AG126" s="177"/>
      <c r="AH126" s="177"/>
      <c r="AI126" s="177"/>
      <c r="AJ126" s="177"/>
      <c r="AK126" s="180"/>
      <c r="AL126" s="180"/>
      <c r="AM126" s="181"/>
      <c r="AQ126" s="1"/>
    </row>
    <row r="127" ht="26.25" customHeight="1" spans="1:43" x14ac:dyDescent="0.25">
      <c r="A127" s="135"/>
      <c r="B127" s="135"/>
      <c r="C127" s="135"/>
      <c r="D127" s="135"/>
      <c r="E127" s="135"/>
      <c r="F127" s="135"/>
      <c r="G127" s="1"/>
      <c r="H127" s="1"/>
      <c r="I127" s="1"/>
      <c r="J127" s="1"/>
      <c r="K127" s="1"/>
      <c r="L127" s="1"/>
      <c r="M127" s="1"/>
      <c r="N127" s="1"/>
      <c r="O127" s="1"/>
      <c r="P127" s="161"/>
      <c r="Q127" s="161"/>
      <c r="R127" s="120"/>
      <c r="S127" s="121"/>
      <c r="T127" s="162" t="s">
        <v>77</v>
      </c>
      <c r="U127" s="1"/>
      <c r="V127" s="1"/>
      <c r="W127" s="1"/>
      <c r="X127" s="1"/>
      <c r="Y127" s="1"/>
      <c r="Z127" s="1"/>
      <c r="AA127" s="1"/>
      <c r="AB127" s="3"/>
      <c r="AC127" s="138"/>
      <c r="AE127" s="182" t="s">
        <v>78</v>
      </c>
      <c r="AF127" s="183"/>
      <c r="AG127" s="183"/>
      <c r="AH127" s="183"/>
      <c r="AI127" s="183"/>
      <c r="AJ127" s="183"/>
      <c r="AK127" s="184">
        <f>AG63/AJ117</f>
        <v>0</v>
      </c>
      <c r="AL127" s="184">
        <f>AG114/AJ117</f>
        <v>0</v>
      </c>
      <c r="AM127" s="185">
        <f>AG115/AJ117</f>
        <v>0</v>
      </c>
      <c r="AQ127" s="1"/>
    </row>
    <row r="128" ht="16.5" customHeight="1" spans="1:43" x14ac:dyDescent="0.25">
      <c r="A128" s="186" t="s">
        <v>79</v>
      </c>
      <c r="B128" s="186"/>
      <c r="C128" s="186"/>
      <c r="D128" s="186"/>
      <c r="E128" s="186"/>
      <c r="F128" s="186"/>
      <c r="G128" s="1"/>
      <c r="H128" s="1"/>
      <c r="I128" s="1"/>
      <c r="J128" s="1"/>
      <c r="K128" s="1"/>
      <c r="L128" s="1"/>
      <c r="M128" s="1"/>
      <c r="N128" s="1"/>
      <c r="O128" s="1"/>
      <c r="P128" s="1"/>
      <c r="Q128" s="1"/>
      <c r="R128" s="171"/>
      <c r="S128" s="121"/>
      <c r="T128" s="172" t="s">
        <v>80</v>
      </c>
      <c r="U128" s="1"/>
      <c r="V128" s="1"/>
      <c r="W128" s="1"/>
      <c r="X128" s="1"/>
      <c r="Y128" s="1"/>
      <c r="Z128" s="1"/>
      <c r="AA128" s="1"/>
      <c r="AB128" s="163"/>
      <c r="AC128" s="138"/>
      <c r="AE128" s="164" t="s">
        <v>81</v>
      </c>
      <c r="AF128" s="165"/>
      <c r="AG128" s="165"/>
      <c r="AH128" s="165"/>
      <c r="AI128" s="165"/>
      <c r="AJ128" s="165"/>
      <c r="AK128" s="187" t="e">
        <f>AK127/AK123</f>
        <v>#DIV/0!</v>
      </c>
      <c r="AL128" s="187" t="e">
        <f>AL127/AL123</f>
        <v>#DIV/0!</v>
      </c>
      <c r="AM128" s="188" t="e">
        <f>AM127/AM123</f>
        <v>#DIV/0!</v>
      </c>
      <c r="AQ128" s="1"/>
    </row>
    <row r="129" ht="15.75" customHeight="1" spans="1:43" x14ac:dyDescent="0.25">
      <c r="A129" s="186"/>
      <c r="B129" s="186"/>
      <c r="C129" s="186"/>
      <c r="D129" s="186"/>
      <c r="E129" s="186"/>
      <c r="F129" s="186"/>
      <c r="G129" s="1"/>
      <c r="H129" s="1"/>
      <c r="I129" s="1"/>
      <c r="J129" s="1"/>
      <c r="K129" s="1"/>
      <c r="L129" s="1"/>
      <c r="M129" s="1"/>
      <c r="N129" s="1"/>
      <c r="O129" s="1"/>
      <c r="P129" s="1"/>
      <c r="Q129" s="1"/>
      <c r="R129" s="171"/>
      <c r="S129" s="121"/>
      <c r="T129" s="172" t="s">
        <v>82</v>
      </c>
      <c r="U129" s="1"/>
      <c r="V129" s="1"/>
      <c r="W129" s="1"/>
      <c r="X129" s="1"/>
      <c r="Y129" s="1"/>
      <c r="Z129" s="1"/>
      <c r="AA129" s="1"/>
      <c r="AB129" s="163"/>
      <c r="AC129" s="138"/>
      <c r="AE129" s="164"/>
      <c r="AF129" s="165"/>
      <c r="AG129" s="165"/>
      <c r="AH129" s="165"/>
      <c r="AI129" s="165"/>
      <c r="AJ129" s="165"/>
      <c r="AK129" s="174"/>
      <c r="AL129" s="187"/>
      <c r="AM129" s="188"/>
      <c r="AQ129" s="1"/>
    </row>
    <row r="130" ht="15.75" customHeight="1" spans="1:43" x14ac:dyDescent="0.25">
      <c r="A130" s="189" t="s">
        <v>83</v>
      </c>
      <c r="B130" s="189"/>
      <c r="C130" s="189"/>
      <c r="D130" s="189"/>
      <c r="E130" s="189"/>
      <c r="F130" s="189"/>
      <c r="G130" s="1"/>
      <c r="H130" s="1"/>
      <c r="I130" s="1"/>
      <c r="J130" s="1"/>
      <c r="K130" s="1"/>
      <c r="L130" s="1"/>
      <c r="M130" s="1"/>
      <c r="N130" s="1"/>
      <c r="O130" s="1"/>
      <c r="P130" s="1"/>
      <c r="Q130" s="1"/>
      <c r="R130" s="1"/>
      <c r="S130" s="121"/>
      <c r="T130" s="172" t="s">
        <v>84</v>
      </c>
      <c r="U130" s="1"/>
      <c r="V130" s="1"/>
      <c r="W130" s="1"/>
      <c r="X130" s="1"/>
      <c r="Y130" s="1"/>
      <c r="Z130" s="1"/>
      <c r="AA130" s="1"/>
      <c r="AB130" s="163"/>
      <c r="AC130" s="138"/>
      <c r="AD130" s="190"/>
      <c r="AE130" s="164" t="s">
        <v>85</v>
      </c>
      <c r="AF130" s="165"/>
      <c r="AG130" s="165"/>
      <c r="AH130" s="165"/>
      <c r="AI130" s="165"/>
      <c r="AJ130" s="165"/>
      <c r="AK130" s="191">
        <v>0</v>
      </c>
      <c r="AL130" s="191">
        <v>0</v>
      </c>
      <c r="AM130" s="192">
        <f>AK130+AL130</f>
        <v>0</v>
      </c>
      <c r="AQ130" s="1"/>
    </row>
    <row r="131" ht="16.5" customHeight="1" spans="1:43" x14ac:dyDescent="0.25">
      <c r="A131" s="189"/>
      <c r="B131" s="189"/>
      <c r="C131" s="189"/>
      <c r="D131" s="189"/>
      <c r="E131" s="189"/>
      <c r="F131" s="189"/>
      <c r="G131" s="1"/>
      <c r="H131" s="1"/>
      <c r="I131" s="1"/>
      <c r="J131" s="1"/>
      <c r="K131" s="1"/>
      <c r="L131" s="1"/>
      <c r="M131" s="1"/>
      <c r="N131" s="1"/>
      <c r="O131" s="1"/>
      <c r="P131" s="1"/>
      <c r="Q131" s="1"/>
      <c r="R131" s="1"/>
      <c r="S131" s="121"/>
      <c r="T131" s="172" t="s">
        <v>86</v>
      </c>
      <c r="U131" s="1"/>
      <c r="V131" s="1"/>
      <c r="W131" s="1"/>
      <c r="X131" s="1"/>
      <c r="Y131" s="1"/>
      <c r="Z131" s="1"/>
      <c r="AA131" s="1"/>
      <c r="AB131" s="3"/>
      <c r="AC131" s="138"/>
      <c r="AE131" s="164"/>
      <c r="AF131" s="165"/>
      <c r="AG131" s="165"/>
      <c r="AH131" s="165"/>
      <c r="AI131" s="165"/>
      <c r="AJ131" s="165"/>
      <c r="AK131" s="152"/>
      <c r="AL131" s="152"/>
      <c r="AM131" s="153"/>
      <c r="AQ131" s="1"/>
    </row>
    <row r="132" ht="14.25" customHeight="1" spans="1:43" x14ac:dyDescent="0.25">
      <c r="A132" s="120" t="s">
        <v>87</v>
      </c>
      <c r="B132" s="186"/>
      <c r="C132" s="186"/>
      <c r="D132" s="186"/>
      <c r="E132" s="186"/>
      <c r="F132" s="186"/>
      <c r="G132" s="193"/>
      <c r="H132" s="193"/>
      <c r="I132" s="193"/>
      <c r="J132" s="193"/>
      <c r="K132" s="193"/>
      <c r="L132" s="193"/>
      <c r="M132" s="193"/>
      <c r="N132" s="193"/>
      <c r="O132" s="193"/>
      <c r="P132" s="193"/>
      <c r="Q132" s="193"/>
      <c r="R132" s="171"/>
      <c r="S132" s="121"/>
      <c r="T132" s="172" t="s">
        <v>88</v>
      </c>
      <c r="U132" s="1"/>
      <c r="V132" s="1"/>
      <c r="W132" s="1"/>
      <c r="X132" s="1"/>
      <c r="Y132" s="1"/>
      <c r="Z132" s="1"/>
      <c r="AA132" s="1"/>
      <c r="AB132" s="163"/>
      <c r="AC132" s="138"/>
      <c r="AE132" s="194" t="s">
        <v>89</v>
      </c>
      <c r="AF132" s="195"/>
      <c r="AG132" s="195"/>
      <c r="AH132" s="195"/>
      <c r="AI132" s="195"/>
      <c r="AJ132" s="195"/>
      <c r="AK132" s="196">
        <f>COUNTIF(AH13:AI62,"NLS")</f>
        <v>0</v>
      </c>
      <c r="AL132" s="196">
        <f>COUNTIF(AH64:AI113,"NLS")</f>
        <v>0</v>
      </c>
      <c r="AM132" s="167">
        <f>AK132+AL132</f>
        <v>0</v>
      </c>
      <c r="AQ132" s="1"/>
    </row>
    <row r="133" ht="15.75" customHeight="1" spans="1:43" x14ac:dyDescent="0.25">
      <c r="A133" s="158" t="s">
        <v>90</v>
      </c>
      <c r="B133" s="189" t="s">
        <v>91</v>
      </c>
      <c r="C133" s="189"/>
      <c r="D133" s="189"/>
      <c r="E133" s="189"/>
      <c r="F133" s="189"/>
      <c r="G133" s="1"/>
      <c r="H133" s="1"/>
      <c r="I133" s="1"/>
      <c r="J133" s="1"/>
      <c r="K133" s="1"/>
      <c r="L133" s="1"/>
      <c r="M133" s="1"/>
      <c r="N133" s="1"/>
      <c r="O133" s="1"/>
      <c r="P133" s="1"/>
      <c r="Q133" s="1"/>
      <c r="R133" s="120"/>
      <c r="S133" s="121"/>
      <c r="T133" s="172" t="s">
        <v>92</v>
      </c>
      <c r="U133" s="1"/>
      <c r="V133" s="1"/>
      <c r="W133" s="1"/>
      <c r="X133" s="1"/>
      <c r="Y133" s="1"/>
      <c r="Z133" s="1"/>
      <c r="AA133" s="1"/>
      <c r="AB133" s="3"/>
      <c r="AC133" s="138"/>
      <c r="AE133" s="194"/>
      <c r="AF133" s="195"/>
      <c r="AG133" s="195"/>
      <c r="AH133" s="195"/>
      <c r="AI133" s="195"/>
      <c r="AJ133" s="195"/>
      <c r="AK133" s="196"/>
      <c r="AL133" s="196"/>
      <c r="AM133" s="167"/>
      <c r="AQ133" s="1"/>
    </row>
    <row r="134" ht="15.75" customHeight="1" spans="7:43" x14ac:dyDescent="0.25">
      <c r="G134" s="119"/>
      <c r="H134" s="119"/>
      <c r="I134" s="119"/>
      <c r="J134" s="119"/>
      <c r="K134" s="197"/>
      <c r="L134" s="197"/>
      <c r="M134" s="197"/>
      <c r="N134" s="197"/>
      <c r="O134" s="1"/>
      <c r="P134" s="1"/>
      <c r="Q134" s="1"/>
      <c r="R134" s="1"/>
      <c r="S134" s="121"/>
      <c r="T134" s="172" t="s">
        <v>93</v>
      </c>
      <c r="U134" s="1"/>
      <c r="V134" s="1"/>
      <c r="W134" s="1"/>
      <c r="X134" s="1"/>
      <c r="Y134" s="1"/>
      <c r="Z134" s="1"/>
      <c r="AA134" s="1"/>
      <c r="AB134" s="1"/>
      <c r="AC134" s="138"/>
      <c r="AE134" s="194" t="s">
        <v>94</v>
      </c>
      <c r="AF134" s="195"/>
      <c r="AG134" s="195"/>
      <c r="AH134" s="195"/>
      <c r="AI134" s="195"/>
      <c r="AJ134" s="195"/>
      <c r="AK134" s="174">
        <f>COUNTIF(AH13:AI62,"Transferred Out")</f>
        <v>0</v>
      </c>
      <c r="AL134" s="174">
        <f>COUNTIF(AH64:AI113,"Transferred Out")</f>
        <v>0</v>
      </c>
      <c r="AM134" s="157">
        <f>AK134+AL134</f>
        <v>0</v>
      </c>
      <c r="AQ134" s="1"/>
    </row>
    <row r="135" ht="14.25" customHeight="1" spans="2:43" x14ac:dyDescent="0.25">
      <c r="B135" s="119"/>
      <c r="C135" s="119"/>
      <c r="D135" s="119"/>
      <c r="E135" s="119"/>
      <c r="F135" s="119"/>
      <c r="G135" s="119"/>
      <c r="H135" s="119"/>
      <c r="I135" s="119"/>
      <c r="J135" s="119"/>
      <c r="K135" s="1"/>
      <c r="L135" s="1"/>
      <c r="M135" s="1"/>
      <c r="N135" s="1"/>
      <c r="O135" s="1"/>
      <c r="P135" s="1"/>
      <c r="Q135" s="1"/>
      <c r="R135" s="1"/>
      <c r="S135" s="121"/>
      <c r="T135" s="162" t="s">
        <v>95</v>
      </c>
      <c r="U135" s="1"/>
      <c r="V135" s="1"/>
      <c r="W135" s="1"/>
      <c r="X135" s="1"/>
      <c r="Y135" s="1"/>
      <c r="Z135" s="163"/>
      <c r="AA135" s="163"/>
      <c r="AB135" s="163"/>
      <c r="AC135" s="138"/>
      <c r="AE135" s="194"/>
      <c r="AF135" s="195"/>
      <c r="AG135" s="195"/>
      <c r="AH135" s="195"/>
      <c r="AI135" s="195"/>
      <c r="AJ135" s="195"/>
      <c r="AK135" s="174"/>
      <c r="AL135" s="174"/>
      <c r="AM135" s="157"/>
      <c r="AQ135" s="1"/>
    </row>
    <row r="136" ht="15" customHeight="1" spans="2:43" x14ac:dyDescent="0.25">
      <c r="B136" s="198"/>
      <c r="C136" s="198"/>
      <c r="D136" s="198"/>
      <c r="E136" s="198"/>
      <c r="F136" s="198"/>
      <c r="G136" s="1"/>
      <c r="H136" s="1"/>
      <c r="I136" s="1"/>
      <c r="J136" s="1"/>
      <c r="K136" s="1"/>
      <c r="L136" s="1"/>
      <c r="M136" s="1"/>
      <c r="N136" s="1"/>
      <c r="O136" s="1"/>
      <c r="P136" s="1"/>
      <c r="Q136" s="1"/>
      <c r="R136" s="1"/>
      <c r="S136" s="121"/>
      <c r="T136" s="172" t="s">
        <v>96</v>
      </c>
      <c r="U136" s="1"/>
      <c r="V136" s="1"/>
      <c r="W136" s="1"/>
      <c r="X136" s="1"/>
      <c r="Y136" s="1"/>
      <c r="Z136" s="1"/>
      <c r="AA136" s="1"/>
      <c r="AB136" s="1"/>
      <c r="AC136" s="138"/>
      <c r="AD136" s="148"/>
      <c r="AE136" s="194" t="s">
        <v>97</v>
      </c>
      <c r="AF136" s="195"/>
      <c r="AG136" s="195"/>
      <c r="AH136" s="195"/>
      <c r="AI136" s="195"/>
      <c r="AJ136" s="195"/>
      <c r="AK136" s="174">
        <f>COUNTIF(AH13:AI62,"Transferred In")</f>
        <v>0</v>
      </c>
      <c r="AL136" s="174">
        <f>COUNTIF(AH64:AI113,"Transferred In")</f>
        <v>0</v>
      </c>
      <c r="AM136" s="157">
        <f>AK136+AL136</f>
        <v>0</v>
      </c>
      <c r="AQ136" s="1"/>
    </row>
    <row r="137" ht="15.75" customHeight="1" spans="2:43" x14ac:dyDescent="0.25">
      <c r="B137" s="198"/>
      <c r="C137" s="198"/>
      <c r="D137" s="198"/>
      <c r="E137" s="198"/>
      <c r="F137" s="198"/>
      <c r="G137" s="1"/>
      <c r="H137" s="1"/>
      <c r="I137" s="1"/>
      <c r="J137" s="1"/>
      <c r="K137" s="1"/>
      <c r="L137" s="1"/>
      <c r="M137" s="1"/>
      <c r="N137" s="1"/>
      <c r="O137" s="1"/>
      <c r="P137" s="1"/>
      <c r="Q137" s="1"/>
      <c r="R137" s="1"/>
      <c r="S137" s="121"/>
      <c r="T137" s="172" t="s">
        <v>98</v>
      </c>
      <c r="U137" s="1"/>
      <c r="V137" s="1"/>
      <c r="W137" s="1"/>
      <c r="X137" s="1"/>
      <c r="Y137" s="1"/>
      <c r="Z137" s="1"/>
      <c r="AA137" s="1"/>
      <c r="AB137" s="1"/>
      <c r="AC137" s="138"/>
      <c r="AE137" s="199"/>
      <c r="AF137" s="146"/>
      <c r="AG137" s="146"/>
      <c r="AH137" s="146"/>
      <c r="AI137" s="146"/>
      <c r="AJ137" s="146"/>
      <c r="AK137" s="200"/>
      <c r="AL137" s="200"/>
      <c r="AM137" s="201"/>
      <c r="AQ137" s="1"/>
    </row>
    <row r="138" ht="14.25" customHeight="1" spans="2:43" x14ac:dyDescent="0.25">
      <c r="B138" s="3"/>
      <c r="C138" s="3"/>
      <c r="D138" s="3"/>
      <c r="E138" s="3"/>
      <c r="F138" s="3"/>
      <c r="G138" s="1"/>
      <c r="H138" s="1"/>
      <c r="I138" s="1"/>
      <c r="J138" s="1"/>
      <c r="K138" s="1"/>
      <c r="L138" s="1"/>
      <c r="M138" s="1"/>
      <c r="N138" s="1"/>
      <c r="O138" s="1"/>
      <c r="P138" s="1"/>
      <c r="Q138" s="1"/>
      <c r="R138" s="1"/>
      <c r="S138" s="121"/>
      <c r="T138" s="172" t="s">
        <v>99</v>
      </c>
      <c r="U138" s="1"/>
      <c r="V138" s="1"/>
      <c r="W138" s="1"/>
      <c r="X138" s="1"/>
      <c r="Y138" s="1"/>
      <c r="Z138" s="1"/>
      <c r="AA138" s="1"/>
      <c r="AB138" s="1"/>
      <c r="AC138" s="138"/>
      <c r="AQ138" s="1"/>
    </row>
    <row r="139" spans="2:43" x14ac:dyDescent="0.25">
      <c r="B139" s="3"/>
      <c r="C139" s="3"/>
      <c r="D139" s="3"/>
      <c r="E139" s="3"/>
      <c r="F139" s="3"/>
      <c r="G139" s="3"/>
      <c r="H139" s="3"/>
      <c r="I139" s="3"/>
      <c r="J139" s="3"/>
      <c r="K139" s="1"/>
      <c r="L139" s="1"/>
      <c r="M139" s="1"/>
      <c r="N139" s="1"/>
      <c r="O139" s="1"/>
      <c r="P139" s="1"/>
      <c r="Q139" s="1"/>
      <c r="R139" s="1"/>
      <c r="S139" s="121"/>
      <c r="T139" s="162" t="s">
        <v>100</v>
      </c>
      <c r="U139" s="1"/>
      <c r="V139" s="1"/>
      <c r="W139" s="1"/>
      <c r="X139" s="1"/>
      <c r="Y139" s="1"/>
      <c r="Z139" s="1"/>
      <c r="AA139" s="1"/>
      <c r="AB139" s="1"/>
      <c r="AC139" s="138"/>
      <c r="AE139" s="202" t="s">
        <v>101</v>
      </c>
      <c r="AM139" s="203"/>
      <c r="AQ139" s="1"/>
    </row>
    <row r="140" spans="2:43" x14ac:dyDescent="0.25">
      <c r="B140" s="204"/>
      <c r="C140" s="204"/>
      <c r="D140" s="204"/>
      <c r="E140" s="204"/>
      <c r="F140" s="204"/>
      <c r="G140" s="3"/>
      <c r="H140" s="3"/>
      <c r="I140" s="3"/>
      <c r="J140" s="3"/>
      <c r="K140" s="1"/>
      <c r="L140" s="1"/>
      <c r="M140" s="1"/>
      <c r="N140" s="1"/>
      <c r="O140" s="1"/>
      <c r="P140" s="1"/>
      <c r="Q140" s="1"/>
      <c r="R140" s="1"/>
      <c r="S140" s="121"/>
      <c r="T140" s="172" t="s">
        <v>102</v>
      </c>
      <c r="U140" s="1"/>
      <c r="V140" s="1"/>
      <c r="W140" s="1"/>
      <c r="X140" s="1"/>
      <c r="Y140" s="1"/>
      <c r="Z140" s="1"/>
      <c r="AA140" s="1"/>
      <c r="AB140" s="1"/>
      <c r="AC140" s="138"/>
      <c r="AE140" s="205"/>
      <c r="AF140" s="205"/>
      <c r="AG140" s="205"/>
      <c r="AH140" s="205"/>
      <c r="AI140" s="205"/>
      <c r="AJ140" s="205"/>
      <c r="AK140" s="205"/>
      <c r="AL140" s="205"/>
      <c r="AM140" s="205"/>
      <c r="AQ140" s="1"/>
    </row>
    <row r="141" ht="12" customHeight="1" spans="2:43" x14ac:dyDescent="0.25">
      <c r="B141" s="204"/>
      <c r="C141" s="204"/>
      <c r="D141" s="204"/>
      <c r="E141" s="204"/>
      <c r="F141" s="204"/>
      <c r="G141" s="1"/>
      <c r="H141" s="1"/>
      <c r="I141" s="1"/>
      <c r="J141" s="1"/>
      <c r="K141" s="1"/>
      <c r="L141" s="1"/>
      <c r="M141" s="1"/>
      <c r="N141" s="1"/>
      <c r="O141" s="1"/>
      <c r="P141" s="1"/>
      <c r="Q141" s="1"/>
      <c r="R141" s="1"/>
      <c r="S141" s="121"/>
      <c r="T141" s="206" t="s">
        <v>103</v>
      </c>
      <c r="U141" s="1"/>
      <c r="V141" s="1"/>
      <c r="W141" s="1"/>
      <c r="X141" s="1"/>
      <c r="Y141" s="1"/>
      <c r="Z141" s="1"/>
      <c r="AA141" s="1"/>
      <c r="AB141" s="1"/>
      <c r="AC141" s="1"/>
      <c r="AE141" s="97"/>
      <c r="AF141" s="97"/>
      <c r="AG141" s="97"/>
      <c r="AH141" s="97"/>
      <c r="AI141" s="97"/>
      <c r="AJ141" s="97"/>
      <c r="AK141" s="97"/>
      <c r="AL141" s="97"/>
      <c r="AM141" s="97"/>
      <c r="AQ141" s="1"/>
    </row>
    <row r="142" spans="2:43" x14ac:dyDescent="0.25">
      <c r="B142" s="204"/>
      <c r="C142" s="204"/>
      <c r="D142" s="204"/>
      <c r="E142" s="204"/>
      <c r="F142" s="204"/>
      <c r="G142" s="1"/>
      <c r="H142" s="1"/>
      <c r="I142" s="1"/>
      <c r="J142" s="1"/>
      <c r="K142" s="1"/>
      <c r="L142" s="1"/>
      <c r="M142" s="1"/>
      <c r="N142" s="1"/>
      <c r="O142" s="1"/>
      <c r="P142" s="1"/>
      <c r="Q142" s="1"/>
      <c r="R142" s="1"/>
      <c r="S142" s="121"/>
      <c r="T142" s="1"/>
      <c r="U142" s="1"/>
      <c r="V142" s="1"/>
      <c r="W142" s="1"/>
      <c r="X142" s="1"/>
      <c r="Y142" s="1"/>
      <c r="Z142" s="1"/>
      <c r="AA142" s="1"/>
      <c r="AB142" s="1"/>
      <c r="AC142" s="1"/>
      <c r="AE142" s="208" t="s">
        <v>104</v>
      </c>
      <c r="AF142" s="208"/>
      <c r="AG142" s="208"/>
      <c r="AH142" s="208"/>
      <c r="AI142" s="208"/>
      <c r="AJ142" s="208"/>
      <c r="AK142" s="208"/>
      <c r="AL142" s="208"/>
      <c r="AM142" s="208"/>
      <c r="AQ142" s="1"/>
    </row>
    <row r="143" spans="2:43" x14ac:dyDescent="0.25">
      <c r="B143" s="204"/>
      <c r="C143" s="204"/>
      <c r="D143" s="204"/>
      <c r="E143" s="204"/>
      <c r="F143" s="204"/>
      <c r="G143" s="1"/>
      <c r="H143" s="1"/>
      <c r="I143" s="1"/>
      <c r="J143" s="1"/>
      <c r="K143" s="1"/>
      <c r="L143" s="1"/>
      <c r="M143" s="1"/>
      <c r="N143" s="1"/>
      <c r="O143" s="1"/>
      <c r="P143" s="1"/>
      <c r="Q143" s="1"/>
      <c r="R143" s="1"/>
      <c r="S143" s="1"/>
      <c r="T143" s="172" t="s">
        <v>105</v>
      </c>
      <c r="U143" s="1"/>
      <c r="V143" s="1"/>
      <c r="W143" s="1"/>
      <c r="X143" s="1"/>
      <c r="Y143" s="1"/>
      <c r="Z143" s="1"/>
      <c r="AA143" s="1"/>
      <c r="AB143" s="1"/>
      <c r="AC143" s="209"/>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2" t="s">
        <v>106</v>
      </c>
      <c r="U144" s="1"/>
      <c r="V144" s="1"/>
      <c r="W144" s="1"/>
      <c r="X144" s="1"/>
      <c r="Y144" s="1"/>
      <c r="Z144" s="1"/>
      <c r="AA144" s="1"/>
      <c r="AB144" s="1"/>
      <c r="AC144" s="209"/>
      <c r="AE144" s="1" t="s">
        <v>107</v>
      </c>
      <c r="AG144" s="202"/>
      <c r="AH144" s="202"/>
      <c r="AI144" s="202"/>
      <c r="AJ144" s="202"/>
      <c r="AK144" s="202"/>
      <c r="AL144" s="202"/>
      <c r="AQ144" s="1"/>
    </row>
    <row r="145" ht="27.65" customHeight="1" spans="1:43" x14ac:dyDescent="0.25">
      <c r="A145" s="210"/>
      <c r="B145" s="210"/>
      <c r="C145" s="210"/>
      <c r="D145" s="210"/>
      <c r="E145" s="210"/>
      <c r="F145" s="210"/>
      <c r="G145" s="1"/>
      <c r="H145" s="1"/>
      <c r="I145" s="1"/>
      <c r="J145" s="1"/>
      <c r="K145" s="1"/>
      <c r="L145" s="1"/>
      <c r="M145" s="1"/>
      <c r="N145" s="1"/>
      <c r="O145" s="1"/>
      <c r="P145" s="1"/>
      <c r="Q145" s="1"/>
      <c r="R145" s="1"/>
      <c r="S145" s="1"/>
      <c r="T145" s="172" t="s">
        <v>108</v>
      </c>
      <c r="U145" s="1"/>
      <c r="V145" s="1"/>
      <c r="W145" s="1"/>
      <c r="X145" s="1"/>
      <c r="Y145" s="1"/>
      <c r="Z145" s="1"/>
      <c r="AA145" s="1"/>
      <c r="AB145" s="1"/>
      <c r="AC145" s="209"/>
      <c r="AE145" s="97"/>
      <c r="AF145" s="97"/>
      <c r="AG145" s="97"/>
      <c r="AH145" s="97"/>
      <c r="AI145" s="97"/>
      <c r="AJ145" s="97"/>
      <c r="AK145" s="97"/>
      <c r="AL145" s="97"/>
      <c r="AM145" s="97"/>
      <c r="AQ145" s="1"/>
    </row>
    <row r="146" ht="14.25" customHeight="1" spans="1:43" x14ac:dyDescent="0.25">
      <c r="A146" s="210"/>
      <c r="B146" s="210"/>
      <c r="C146" s="210"/>
      <c r="D146" s="210"/>
      <c r="E146" s="210"/>
      <c r="F146" s="210"/>
      <c r="G146" s="1"/>
      <c r="H146" s="1"/>
      <c r="I146" s="1"/>
      <c r="J146" s="1"/>
      <c r="K146" s="1"/>
      <c r="L146" s="1"/>
      <c r="M146" s="1"/>
      <c r="N146" s="1"/>
      <c r="O146" s="1"/>
      <c r="P146" s="1"/>
      <c r="Q146" s="1"/>
      <c r="R146" s="1"/>
      <c r="S146" s="1"/>
      <c r="T146" s="211" t="s">
        <v>109</v>
      </c>
      <c r="U146" s="212"/>
      <c r="V146" s="212"/>
      <c r="W146" s="212"/>
      <c r="X146" s="212"/>
      <c r="Y146" s="212"/>
      <c r="Z146" s="212"/>
      <c r="AA146" s="212"/>
      <c r="AB146" s="212"/>
      <c r="AC146" s="213"/>
      <c r="AE146" s="208" t="s">
        <v>110</v>
      </c>
      <c r="AF146" s="208"/>
      <c r="AG146" s="208"/>
      <c r="AH146" s="208"/>
      <c r="AI146" s="208"/>
      <c r="AJ146" s="208"/>
      <c r="AK146" s="208"/>
      <c r="AL146" s="208"/>
      <c r="AM146" s="208"/>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1"/>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1"/>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1"/>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1"/>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1"/>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1"/>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1"/>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1"/>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1"/>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1"/>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1"/>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1"/>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1"/>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1"/>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1"/>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1"/>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1"/>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1"/>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1"/>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1"/>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1"/>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1"/>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1"/>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1"/>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1"/>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1"/>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1"/>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1"/>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1"/>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1"/>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1"/>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1"/>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1"/>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1"/>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1"/>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1"/>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1"/>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1"/>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1"/>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1"/>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1"/>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1"/>
    </row>
    <row r="55" ht="21.9" customHeight="1" spans="1:43" x14ac:dyDescent="0.25">
      <c r="A55" s="62">
        <v>43</v>
      </c>
      <c r="B55" s="77"/>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1"/>
    </row>
    <row r="56" ht="21.9" customHeight="1" spans="1:43" x14ac:dyDescent="0.25">
      <c r="A56" s="62">
        <v>44</v>
      </c>
      <c r="B56" s="77"/>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1"/>
    </row>
    <row r="57" ht="21.9" customHeight="1" spans="1:43" x14ac:dyDescent="0.25">
      <c r="A57" s="62">
        <v>45</v>
      </c>
      <c r="B57" s="77"/>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1"/>
    </row>
    <row r="58" ht="21.9" customHeight="1" spans="1:43" x14ac:dyDescent="0.25">
      <c r="A58" s="62">
        <v>46</v>
      </c>
      <c r="B58" s="77"/>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1"/>
    </row>
    <row r="59" ht="21.9" customHeight="1" spans="1:43" x14ac:dyDescent="0.25">
      <c r="A59" s="62">
        <v>47</v>
      </c>
      <c r="B59" s="77"/>
      <c r="C59" s="78"/>
      <c r="D59" s="78"/>
      <c r="E59" s="78"/>
      <c r="F59" s="78"/>
      <c r="G59" s="79"/>
      <c r="H59" s="80"/>
      <c r="I59" s="80"/>
      <c r="J59" s="80"/>
      <c r="K59" s="81"/>
      <c r="L59" s="82"/>
      <c r="M59" s="80"/>
      <c r="N59" s="80"/>
      <c r="O59" s="80"/>
      <c r="P59" s="83"/>
      <c r="Q59" s="79"/>
      <c r="R59" s="80"/>
      <c r="S59" s="80"/>
      <c r="T59" s="80"/>
      <c r="U59" s="81"/>
      <c r="V59" s="82"/>
      <c r="W59" s="80"/>
      <c r="X59" s="80"/>
      <c r="Y59" s="80"/>
      <c r="Z59" s="83"/>
      <c r="AA59" s="79"/>
      <c r="AB59" s="80"/>
      <c r="AC59" s="80"/>
      <c r="AD59" s="83"/>
      <c r="AE59" s="81"/>
      <c r="AF59" s="72">
        <f t="shared" si="0"/>
      </c>
      <c r="AG59" s="73">
        <f t="shared" si="2"/>
      </c>
      <c r="AH59" s="74"/>
      <c r="AI59" s="75"/>
      <c r="AJ59" s="75"/>
      <c r="AK59" s="75"/>
      <c r="AL59" s="75"/>
      <c r="AM59" s="76"/>
      <c r="AQ59" s="1"/>
    </row>
    <row r="60" ht="21.9" customHeight="1" spans="1:43" x14ac:dyDescent="0.25">
      <c r="A60" s="62">
        <v>48</v>
      </c>
      <c r="B60" s="77"/>
      <c r="C60" s="78"/>
      <c r="D60" s="78"/>
      <c r="E60" s="78"/>
      <c r="F60" s="78"/>
      <c r="G60" s="79"/>
      <c r="H60" s="80"/>
      <c r="I60" s="80"/>
      <c r="J60" s="80"/>
      <c r="K60" s="81"/>
      <c r="L60" s="82"/>
      <c r="M60" s="80"/>
      <c r="N60" s="80"/>
      <c r="O60" s="80"/>
      <c r="P60" s="83"/>
      <c r="Q60" s="79"/>
      <c r="R60" s="80"/>
      <c r="S60" s="80"/>
      <c r="T60" s="80"/>
      <c r="U60" s="81"/>
      <c r="V60" s="82"/>
      <c r="W60" s="80"/>
      <c r="X60" s="80"/>
      <c r="Y60" s="80"/>
      <c r="Z60" s="83"/>
      <c r="AA60" s="79"/>
      <c r="AB60" s="80"/>
      <c r="AC60" s="80"/>
      <c r="AD60" s="83"/>
      <c r="AE60" s="81"/>
      <c r="AF60" s="72">
        <f t="shared" si="0"/>
      </c>
      <c r="AG60" s="73">
        <f t="shared" si="2"/>
      </c>
      <c r="AH60" s="74"/>
      <c r="AI60" s="75"/>
      <c r="AJ60" s="75"/>
      <c r="AK60" s="75"/>
      <c r="AL60" s="75"/>
      <c r="AM60" s="76"/>
      <c r="AQ60" s="1"/>
    </row>
    <row r="61" ht="21.9" customHeight="1" spans="1:43" x14ac:dyDescent="0.25">
      <c r="A61" s="62">
        <v>49</v>
      </c>
      <c r="B61" s="77"/>
      <c r="C61" s="78"/>
      <c r="D61" s="78"/>
      <c r="E61" s="78"/>
      <c r="F61" s="78"/>
      <c r="G61" s="79"/>
      <c r="H61" s="80"/>
      <c r="I61" s="80"/>
      <c r="J61" s="80"/>
      <c r="K61" s="81"/>
      <c r="L61" s="82"/>
      <c r="M61" s="80"/>
      <c r="N61" s="80"/>
      <c r="O61" s="80"/>
      <c r="P61" s="83"/>
      <c r="Q61" s="79"/>
      <c r="R61" s="80"/>
      <c r="S61" s="80"/>
      <c r="T61" s="80"/>
      <c r="U61" s="81"/>
      <c r="V61" s="82"/>
      <c r="W61" s="80"/>
      <c r="X61" s="80"/>
      <c r="Y61" s="80"/>
      <c r="Z61" s="83"/>
      <c r="AA61" s="79"/>
      <c r="AB61" s="80"/>
      <c r="AC61" s="80"/>
      <c r="AD61" s="83"/>
      <c r="AE61" s="81"/>
      <c r="AF61" s="72">
        <f t="shared" si="0"/>
      </c>
      <c r="AG61" s="73">
        <f t="shared" si="2"/>
      </c>
      <c r="AH61" s="74"/>
      <c r="AI61" s="75"/>
      <c r="AJ61" s="75"/>
      <c r="AK61" s="75"/>
      <c r="AL61" s="75"/>
      <c r="AM61" s="76"/>
      <c r="AQ61" s="1"/>
    </row>
    <row r="62" ht="21.9" customHeight="1" spans="1:43" x14ac:dyDescent="0.25">
      <c r="A62" s="79">
        <v>50</v>
      </c>
      <c r="B62" s="84"/>
      <c r="C62" s="78"/>
      <c r="D62" s="78"/>
      <c r="E62" s="78"/>
      <c r="F62" s="78"/>
      <c r="G62" s="79"/>
      <c r="H62" s="80"/>
      <c r="I62" s="80"/>
      <c r="J62" s="80"/>
      <c r="K62" s="81"/>
      <c r="L62" s="82"/>
      <c r="M62" s="80"/>
      <c r="N62" s="80"/>
      <c r="O62" s="80"/>
      <c r="P62" s="83"/>
      <c r="Q62" s="79"/>
      <c r="R62" s="80"/>
      <c r="S62" s="80"/>
      <c r="T62" s="80"/>
      <c r="U62" s="81"/>
      <c r="V62" s="82"/>
      <c r="W62" s="80"/>
      <c r="X62" s="80"/>
      <c r="Y62" s="80"/>
      <c r="Z62" s="83"/>
      <c r="AA62" s="79"/>
      <c r="AB62" s="80"/>
      <c r="AC62" s="80"/>
      <c r="AD62" s="83"/>
      <c r="AE62" s="81"/>
      <c r="AF62" s="72">
        <f t="shared" si="0"/>
      </c>
      <c r="AG62" s="73">
        <f t="shared" si="2"/>
      </c>
      <c r="AH62" s="74"/>
      <c r="AI62" s="75"/>
      <c r="AJ62" s="85"/>
      <c r="AK62" s="85"/>
      <c r="AL62" s="85"/>
      <c r="AM62" s="86"/>
      <c r="AQ62" s="1"/>
    </row>
    <row r="63" ht="21.9" customHeight="1" spans="1:43" x14ac:dyDescent="0.25">
      <c r="A63" s="87"/>
      <c r="B63" s="88" t="s">
        <v>36</v>
      </c>
      <c r="C63" s="88"/>
      <c r="D63" s="88"/>
      <c r="E63" s="88"/>
      <c r="F63" s="88"/>
      <c r="G63" s="89">
        <f t="shared" ref="G63:AE63" si="3">IF(G10="","",COUNTA($B$13:$B$62)-(COUNTIF(G13:G62,"x")*1+COUNTIF(G13:G62,"h")*0.5))</f>
      </c>
      <c r="H63" s="90">
        <f t="shared" si="3"/>
      </c>
      <c r="I63" s="90">
        <f t="shared" si="3"/>
      </c>
      <c r="J63" s="90">
        <f t="shared" si="3"/>
        <v>0</v>
      </c>
      <c r="K63" s="91">
        <f t="shared" si="3"/>
        <v>0</v>
      </c>
      <c r="L63" s="89">
        <f t="shared" si="3"/>
        <v>0</v>
      </c>
      <c r="M63" s="90">
        <f t="shared" si="3"/>
        <v>0</v>
      </c>
      <c r="N63" s="90">
        <f t="shared" si="3"/>
        <v>0</v>
      </c>
      <c r="O63" s="90">
        <f t="shared" si="3"/>
        <v>0</v>
      </c>
      <c r="P63" s="91">
        <f t="shared" si="3"/>
        <v>0</v>
      </c>
      <c r="Q63" s="89">
        <f t="shared" si="3"/>
        <v>0</v>
      </c>
      <c r="R63" s="90">
        <f t="shared" si="3"/>
        <v>0</v>
      </c>
      <c r="S63" s="90">
        <f t="shared" si="3"/>
        <v>0</v>
      </c>
      <c r="T63" s="90">
        <f t="shared" si="3"/>
        <v>0</v>
      </c>
      <c r="U63" s="91">
        <f t="shared" si="3"/>
        <v>0</v>
      </c>
      <c r="V63" s="89">
        <f t="shared" si="3"/>
        <v>0</v>
      </c>
      <c r="W63" s="90">
        <f t="shared" si="3"/>
        <v>0</v>
      </c>
      <c r="X63" s="90">
        <f t="shared" si="3"/>
        <v>0</v>
      </c>
      <c r="Y63" s="90">
        <f t="shared" si="3"/>
        <v>0</v>
      </c>
      <c r="Z63" s="91">
        <f t="shared" si="3"/>
        <v>0</v>
      </c>
      <c r="AA63" s="89">
        <f t="shared" si="3"/>
        <v>0</v>
      </c>
      <c r="AB63" s="90">
        <f t="shared" si="3"/>
        <v>0</v>
      </c>
      <c r="AC63" s="90">
        <f t="shared" si="3"/>
        <v>0</v>
      </c>
      <c r="AD63" s="90">
        <f t="shared" si="3"/>
        <v>0</v>
      </c>
      <c r="AE63" s="91">
        <f t="shared" si="3"/>
        <v>0</v>
      </c>
      <c r="AF63" s="92">
        <f>SUM(AF13:AF62)</f>
        <v>0</v>
      </c>
      <c r="AG63" s="93">
        <f>SUM(AG13:AG62)</f>
        <v>0</v>
      </c>
      <c r="AH63" s="94"/>
      <c r="AI63" s="95"/>
      <c r="AJ63" s="95"/>
      <c r="AK63" s="95"/>
      <c r="AL63" s="95"/>
      <c r="AM63" s="96"/>
      <c r="AQ63" s="1"/>
    </row>
    <row r="64" ht="21.9" customHeight="1" spans="1:43" x14ac:dyDescent="0.25">
      <c r="A64" s="62">
        <v>1</v>
      </c>
      <c r="B64" s="63" t="s">
        <v>37</v>
      </c>
      <c r="C64" s="97"/>
      <c r="D64" s="97"/>
      <c r="E64" s="97"/>
      <c r="F64" s="97"/>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1"/>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1"/>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1"/>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1"/>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1"/>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1"/>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1"/>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1"/>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1"/>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1"/>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1"/>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1"/>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1"/>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1"/>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1"/>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1"/>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1"/>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1"/>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1"/>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1"/>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1"/>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1"/>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1"/>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1"/>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1"/>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1"/>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1"/>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1"/>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1"/>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1"/>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1"/>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1"/>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1"/>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1"/>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1"/>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1"/>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1"/>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1"/>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1"/>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1"/>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1"/>
    </row>
    <row r="105" ht="21.9" customHeight="1" spans="1:43" x14ac:dyDescent="0.25">
      <c r="A105" s="62">
        <v>42</v>
      </c>
      <c r="B105" s="77"/>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1"/>
    </row>
    <row r="106" ht="21.9" customHeight="1" spans="1:43" x14ac:dyDescent="0.25">
      <c r="A106" s="62">
        <v>43</v>
      </c>
      <c r="B106" s="77"/>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1"/>
    </row>
    <row r="107" ht="21.9" customHeight="1" spans="1:43" x14ac:dyDescent="0.25">
      <c r="A107" s="62">
        <v>44</v>
      </c>
      <c r="B107" s="77"/>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1"/>
    </row>
    <row r="108" ht="21.9" customHeight="1" spans="1:43" x14ac:dyDescent="0.25">
      <c r="A108" s="62">
        <v>45</v>
      </c>
      <c r="B108" s="77"/>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1"/>
    </row>
    <row r="109" ht="21.9" customHeight="1" spans="1:43" x14ac:dyDescent="0.25">
      <c r="A109" s="62">
        <v>46</v>
      </c>
      <c r="B109" s="77"/>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1"/>
    </row>
    <row r="110" ht="21.9" customHeight="1" spans="1:43" x14ac:dyDescent="0.25">
      <c r="A110" s="62">
        <v>47</v>
      </c>
      <c r="B110" s="77"/>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1"/>
    </row>
    <row r="111" ht="21.9" customHeight="1" spans="1:43" x14ac:dyDescent="0.25">
      <c r="A111" s="62">
        <v>48</v>
      </c>
      <c r="B111" s="77"/>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1"/>
    </row>
    <row r="112" ht="21.9" customHeight="1" spans="1:43" x14ac:dyDescent="0.25">
      <c r="A112" s="62">
        <v>49</v>
      </c>
      <c r="B112" s="77"/>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1"/>
    </row>
    <row r="113" ht="21.9" customHeight="1" spans="1:43" x14ac:dyDescent="0.25">
      <c r="A113" s="79">
        <v>50</v>
      </c>
      <c r="B113" s="84"/>
      <c r="C113" s="78"/>
      <c r="D113" s="78"/>
      <c r="E113" s="78"/>
      <c r="F113" s="78"/>
      <c r="G113" s="79"/>
      <c r="H113" s="80"/>
      <c r="I113" s="80"/>
      <c r="J113" s="80"/>
      <c r="K113" s="81"/>
      <c r="L113" s="82"/>
      <c r="M113" s="80"/>
      <c r="N113" s="80"/>
      <c r="O113" s="80"/>
      <c r="P113" s="83"/>
      <c r="Q113" s="79"/>
      <c r="R113" s="80"/>
      <c r="S113" s="80"/>
      <c r="T113" s="80"/>
      <c r="U113" s="81"/>
      <c r="V113" s="82"/>
      <c r="W113" s="80"/>
      <c r="X113" s="80"/>
      <c r="Y113" s="80"/>
      <c r="Z113" s="83"/>
      <c r="AA113" s="79"/>
      <c r="AB113" s="80"/>
      <c r="AC113" s="80"/>
      <c r="AD113" s="83"/>
      <c r="AE113" s="81"/>
      <c r="AF113" s="98">
        <f t="shared" si="4"/>
      </c>
      <c r="AG113" s="99">
        <f t="shared" si="5"/>
      </c>
      <c r="AH113" s="100"/>
      <c r="AI113" s="85"/>
      <c r="AJ113" s="85"/>
      <c r="AK113" s="85"/>
      <c r="AL113" s="85"/>
      <c r="AM113" s="86"/>
      <c r="AQ113" s="1"/>
    </row>
    <row r="114" ht="21.9" customHeight="1" spans="1:43" x14ac:dyDescent="0.25">
      <c r="A114" s="101" t="s">
        <v>42</v>
      </c>
      <c r="B114" s="88"/>
      <c r="C114" s="88"/>
      <c r="D114" s="88"/>
      <c r="E114" s="88"/>
      <c r="F114" s="88"/>
      <c r="G114" s="102">
        <f t="shared" ref="G114:AE114" si="6">IF(G10="","",COUNTA($B$64:$B$113)-(COUNTIF(G64:G113,"x")+COUNTIF(G64:G113,"h")*0.5))</f>
      </c>
      <c r="H114" s="90">
        <f t="shared" si="6"/>
      </c>
      <c r="I114" s="90">
        <f t="shared" si="6"/>
      </c>
      <c r="J114" s="90">
        <f t="shared" si="6"/>
        <v>0</v>
      </c>
      <c r="K114" s="91">
        <f t="shared" si="6"/>
        <v>0</v>
      </c>
      <c r="L114" s="102">
        <f t="shared" si="6"/>
        <v>0</v>
      </c>
      <c r="M114" s="90">
        <f t="shared" si="6"/>
        <v>0</v>
      </c>
      <c r="N114" s="90">
        <f t="shared" si="6"/>
        <v>0</v>
      </c>
      <c r="O114" s="90">
        <f t="shared" si="6"/>
        <v>0</v>
      </c>
      <c r="P114" s="91">
        <f t="shared" si="6"/>
        <v>0</v>
      </c>
      <c r="Q114" s="102">
        <f t="shared" si="6"/>
        <v>0</v>
      </c>
      <c r="R114" s="90">
        <f t="shared" si="6"/>
        <v>0</v>
      </c>
      <c r="S114" s="90">
        <f t="shared" si="6"/>
        <v>0</v>
      </c>
      <c r="T114" s="90">
        <f t="shared" si="6"/>
        <v>0</v>
      </c>
      <c r="U114" s="91">
        <f t="shared" si="6"/>
        <v>0</v>
      </c>
      <c r="V114" s="102">
        <f t="shared" si="6"/>
        <v>0</v>
      </c>
      <c r="W114" s="90">
        <f t="shared" si="6"/>
        <v>0</v>
      </c>
      <c r="X114" s="90">
        <f t="shared" si="6"/>
        <v>0</v>
      </c>
      <c r="Y114" s="90">
        <f t="shared" si="6"/>
        <v>0</v>
      </c>
      <c r="Z114" s="91">
        <f t="shared" si="6"/>
        <v>0</v>
      </c>
      <c r="AA114" s="102">
        <f t="shared" si="6"/>
        <v>0</v>
      </c>
      <c r="AB114" s="90">
        <f t="shared" si="6"/>
        <v>0</v>
      </c>
      <c r="AC114" s="90">
        <f t="shared" si="6"/>
        <v>0</v>
      </c>
      <c r="AD114" s="90">
        <f t="shared" si="6"/>
        <v>0</v>
      </c>
      <c r="AE114" s="91">
        <f t="shared" si="6"/>
        <v>0</v>
      </c>
      <c r="AF114" s="92">
        <f>SUM(AF64:AF113)</f>
        <v>0</v>
      </c>
      <c r="AG114" s="93">
        <f>SUM(AG64:AG113)</f>
        <v>0</v>
      </c>
      <c r="AH114" s="103"/>
      <c r="AI114" s="104"/>
      <c r="AJ114" s="104"/>
      <c r="AK114" s="104"/>
      <c r="AL114" s="104"/>
      <c r="AM114" s="105"/>
      <c r="AQ114" s="1"/>
    </row>
    <row r="115" ht="21.9" customHeight="1" spans="1:43" x14ac:dyDescent="0.25">
      <c r="A115" s="106" t="s">
        <v>43</v>
      </c>
      <c r="B115" s="106"/>
      <c r="C115" s="107"/>
      <c r="D115" s="107"/>
      <c r="E115" s="107"/>
      <c r="F115" s="107"/>
      <c r="G115" s="108">
        <f t="shared" ref="G115:AE115" si="7">IF(G10="","",G63+G114)</f>
      </c>
      <c r="H115" s="109">
        <f t="shared" si="7"/>
      </c>
      <c r="I115" s="109">
        <f t="shared" si="7"/>
      </c>
      <c r="J115" s="109">
        <f t="shared" si="7"/>
        <v>0</v>
      </c>
      <c r="K115" s="110">
        <f t="shared" si="7"/>
        <v>0</v>
      </c>
      <c r="L115" s="108">
        <f t="shared" si="7"/>
        <v>0</v>
      </c>
      <c r="M115" s="109">
        <f t="shared" si="7"/>
        <v>0</v>
      </c>
      <c r="N115" s="109">
        <f t="shared" si="7"/>
        <v>0</v>
      </c>
      <c r="O115" s="109">
        <f t="shared" si="7"/>
        <v>0</v>
      </c>
      <c r="P115" s="110">
        <f t="shared" si="7"/>
        <v>0</v>
      </c>
      <c r="Q115" s="108">
        <f t="shared" si="7"/>
        <v>0</v>
      </c>
      <c r="R115" s="109">
        <f t="shared" si="7"/>
        <v>0</v>
      </c>
      <c r="S115" s="109">
        <f t="shared" si="7"/>
        <v>0</v>
      </c>
      <c r="T115" s="109">
        <f t="shared" si="7"/>
        <v>0</v>
      </c>
      <c r="U115" s="110">
        <f t="shared" si="7"/>
        <v>0</v>
      </c>
      <c r="V115" s="108">
        <f t="shared" si="7"/>
        <v>0</v>
      </c>
      <c r="W115" s="109">
        <f t="shared" si="7"/>
        <v>0</v>
      </c>
      <c r="X115" s="109">
        <f t="shared" si="7"/>
        <v>0</v>
      </c>
      <c r="Y115" s="109">
        <f t="shared" si="7"/>
        <v>0</v>
      </c>
      <c r="Z115" s="110">
        <f t="shared" si="7"/>
        <v>0</v>
      </c>
      <c r="AA115" s="108">
        <f t="shared" si="7"/>
        <v>0</v>
      </c>
      <c r="AB115" s="109">
        <f t="shared" si="7"/>
        <v>0</v>
      </c>
      <c r="AC115" s="109">
        <f t="shared" si="7"/>
        <v>0</v>
      </c>
      <c r="AD115" s="109">
        <f t="shared" si="7"/>
        <v>0</v>
      </c>
      <c r="AE115" s="110">
        <f t="shared" si="7"/>
        <v>0</v>
      </c>
      <c r="AF115" s="111">
        <f>AF63+AF114</f>
        <v>0</v>
      </c>
      <c r="AG115" s="112">
        <f>AG63+AG114</f>
        <v>0</v>
      </c>
      <c r="AH115" s="113"/>
      <c r="AI115" s="114"/>
      <c r="AJ115" s="114"/>
      <c r="AK115" s="114"/>
      <c r="AL115" s="114"/>
      <c r="AM115" s="115"/>
      <c r="AQ115" s="1"/>
    </row>
    <row r="116" ht="6.75" customHeight="1" spans="1:43" x14ac:dyDescent="0.25">
      <c r="A116" s="116"/>
      <c r="B116" s="116"/>
      <c r="C116" s="116"/>
      <c r="D116" s="116"/>
      <c r="E116" s="116"/>
      <c r="F116" s="116"/>
      <c r="G116" s="117"/>
      <c r="H116" s="117"/>
      <c r="I116" s="117"/>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18" t="s">
        <v>44</v>
      </c>
      <c r="B117" s="119"/>
      <c r="C117" s="119"/>
      <c r="D117" s="119"/>
      <c r="E117" s="119"/>
      <c r="F117" s="119"/>
      <c r="G117" s="120"/>
      <c r="H117" s="120"/>
      <c r="I117" s="120"/>
      <c r="J117" s="120"/>
      <c r="K117" s="120"/>
      <c r="L117" s="120"/>
      <c r="M117" s="120"/>
      <c r="N117" s="120"/>
      <c r="O117" s="120"/>
      <c r="P117" s="120"/>
      <c r="Q117" s="120"/>
      <c r="R117" s="120"/>
      <c r="S117" s="121"/>
      <c r="T117" s="122" t="s">
        <v>45</v>
      </c>
      <c r="U117" s="123"/>
      <c r="V117" s="123"/>
      <c r="W117" s="123"/>
      <c r="X117" s="123"/>
      <c r="Y117" s="124"/>
      <c r="Z117" s="124"/>
      <c r="AA117" s="124"/>
      <c r="AB117" s="125"/>
      <c r="AC117" s="126"/>
      <c r="AD117" s="1"/>
      <c r="AE117" s="127" t="s">
        <v>46</v>
      </c>
      <c r="AF117" s="128"/>
      <c r="AG117" s="129">
        <f>AA6</f>
        <v>NaN</v>
      </c>
      <c r="AH117" s="130" t="s">
        <v>47</v>
      </c>
      <c r="AI117" s="131"/>
      <c r="AJ117" s="132">
        <f>AQ9</f>
        <v>22</v>
      </c>
      <c r="AK117" s="133" t="s">
        <v>48</v>
      </c>
      <c r="AL117" s="133"/>
      <c r="AM117" s="134"/>
      <c r="AQ117" s="1"/>
    </row>
    <row r="118" ht="15" customHeight="1" spans="1:43" x14ac:dyDescent="0.25">
      <c r="A118" s="135" t="s">
        <v>49</v>
      </c>
      <c r="B118" s="135"/>
      <c r="C118" s="135"/>
      <c r="D118" s="135"/>
      <c r="E118" s="135"/>
      <c r="F118" s="135"/>
      <c r="G118" s="135"/>
      <c r="H118" s="135"/>
      <c r="I118" s="135"/>
      <c r="J118" s="1"/>
      <c r="K118" s="1"/>
      <c r="L118" s="1"/>
      <c r="M118" s="1"/>
      <c r="N118" s="1"/>
      <c r="O118" s="1"/>
      <c r="P118" s="1"/>
      <c r="Q118" s="1"/>
      <c r="R118" s="120"/>
      <c r="S118" s="121"/>
      <c r="T118" s="136" t="s">
        <v>50</v>
      </c>
      <c r="U118" s="1"/>
      <c r="V118" s="1"/>
      <c r="W118" s="1"/>
      <c r="X118" s="1"/>
      <c r="Y118" s="1"/>
      <c r="Z118" s="1"/>
      <c r="AA118" s="1"/>
      <c r="AB118" s="1"/>
      <c r="AC118" s="138"/>
      <c r="AD118" s="1"/>
      <c r="AE118" s="1"/>
      <c r="AF118" s="140"/>
      <c r="AG118" s="141"/>
      <c r="AH118" s="142"/>
      <c r="AI118" s="143"/>
      <c r="AJ118" s="144"/>
      <c r="AK118" s="145" t="s">
        <v>16</v>
      </c>
      <c r="AL118" s="146" t="s">
        <v>20</v>
      </c>
      <c r="AM118" s="147" t="s">
        <v>51</v>
      </c>
      <c r="AQ118" s="1"/>
    </row>
    <row r="119" ht="15.5" customHeight="1" spans="1:43" x14ac:dyDescent="0.25">
      <c r="A119" s="135" t="s">
        <v>52</v>
      </c>
      <c r="B119" s="135"/>
      <c r="C119" s="135"/>
      <c r="D119" s="135"/>
      <c r="E119" s="135"/>
      <c r="F119" s="135"/>
      <c r="G119" s="135"/>
      <c r="H119" s="135"/>
      <c r="I119" s="135"/>
      <c r="J119" s="1"/>
      <c r="K119" s="1"/>
      <c r="L119" s="1"/>
      <c r="M119" s="1"/>
      <c r="N119" s="1"/>
      <c r="O119" s="1"/>
      <c r="P119" s="1"/>
      <c r="Q119" s="1"/>
      <c r="R119" s="120"/>
      <c r="S119" s="121"/>
      <c r="T119" s="1"/>
      <c r="U119" s="1"/>
      <c r="V119" s="1"/>
      <c r="W119" s="1"/>
      <c r="X119" s="1"/>
      <c r="Y119" s="1"/>
      <c r="Z119" s="1"/>
      <c r="AA119" s="1"/>
      <c r="AB119" s="1"/>
      <c r="AC119" s="138"/>
      <c r="AD119" s="1"/>
      <c r="AE119" s="149" t="s">
        <v>53</v>
      </c>
      <c r="AF119" s="150"/>
      <c r="AG119" s="150"/>
      <c r="AH119" s="150"/>
      <c r="AI119" s="150"/>
      <c r="AJ119" s="151"/>
      <c r="AK119" s="152"/>
      <c r="AL119" s="152"/>
      <c r="AM119" s="153">
        <f>AK119+AL119</f>
        <v>0</v>
      </c>
      <c r="AQ119" s="1"/>
    </row>
    <row r="120" ht="15.75" customHeight="1" spans="1:43" x14ac:dyDescent="0.25">
      <c r="A120" s="135" t="s">
        <v>54</v>
      </c>
      <c r="B120" s="135"/>
      <c r="C120" s="135"/>
      <c r="D120" s="135"/>
      <c r="E120" s="135"/>
      <c r="F120" s="135"/>
      <c r="G120" s="135"/>
      <c r="H120" s="135"/>
      <c r="I120" s="135"/>
      <c r="J120" s="1"/>
      <c r="K120" s="1"/>
      <c r="L120" s="1"/>
      <c r="M120" s="1"/>
      <c r="N120" s="1"/>
      <c r="O120" s="1"/>
      <c r="P120" s="1"/>
      <c r="Q120" s="1"/>
      <c r="R120" s="120"/>
      <c r="S120" s="121"/>
      <c r="T120" s="1"/>
      <c r="U120" s="1"/>
      <c r="V120" s="1"/>
      <c r="W120" s="1"/>
      <c r="X120" s="1"/>
      <c r="Y120" s="1"/>
      <c r="Z120" s="1"/>
      <c r="AA120" s="1"/>
      <c r="AB120" s="1"/>
      <c r="AC120" s="138"/>
      <c r="AD120" s="1"/>
      <c r="AE120" s="1"/>
      <c r="AF120" s="155"/>
      <c r="AG120" s="155"/>
      <c r="AH120" s="155"/>
      <c r="AI120" s="155"/>
      <c r="AJ120" s="156"/>
      <c r="AK120" s="31"/>
      <c r="AL120" s="31"/>
      <c r="AM120" s="157"/>
      <c r="AQ120" s="1"/>
    </row>
    <row r="121" ht="15.75" customHeight="1" spans="1:43" x14ac:dyDescent="0.25">
      <c r="A121" s="158" t="s">
        <v>55</v>
      </c>
      <c r="B121" s="159" t="s">
        <v>56</v>
      </c>
      <c r="C121" s="159"/>
      <c r="D121" s="159"/>
      <c r="E121" s="159"/>
      <c r="F121" s="159"/>
      <c r="G121" s="160" t="s">
        <v>57</v>
      </c>
      <c r="H121" s="160"/>
      <c r="I121" s="160"/>
      <c r="J121" s="1"/>
      <c r="K121" s="1"/>
      <c r="L121" s="1"/>
      <c r="M121" s="1"/>
      <c r="N121" s="1"/>
      <c r="O121" s="1"/>
      <c r="P121" s="1"/>
      <c r="Q121" s="161" t="s">
        <v>58</v>
      </c>
      <c r="R121" s="1"/>
      <c r="S121" s="121"/>
      <c r="T121" s="162" t="s">
        <v>59</v>
      </c>
      <c r="U121" s="1"/>
      <c r="V121" s="1"/>
      <c r="W121" s="1"/>
      <c r="X121" s="1"/>
      <c r="Y121" s="3"/>
      <c r="Z121" s="1"/>
      <c r="AA121" s="1"/>
      <c r="AB121" s="163"/>
      <c r="AC121" s="138"/>
      <c r="AD121" s="1"/>
      <c r="AE121" s="164" t="s">
        <v>60</v>
      </c>
      <c r="AF121" s="165"/>
      <c r="AG121" s="165"/>
      <c r="AH121" s="165"/>
      <c r="AI121" s="165"/>
      <c r="AJ121" s="165"/>
      <c r="AK121" s="166">
        <v>0</v>
      </c>
      <c r="AL121" s="166">
        <v>0</v>
      </c>
      <c r="AM121" s="167">
        <f>AK121+AL121</f>
        <v>0</v>
      </c>
      <c r="AQ121" s="1"/>
    </row>
    <row r="122" ht="15.75" customHeight="1" spans="1:43" x14ac:dyDescent="0.25">
      <c r="A122" s="158"/>
      <c r="B122" s="159"/>
      <c r="C122" s="159"/>
      <c r="D122" s="159"/>
      <c r="E122" s="159"/>
      <c r="F122" s="159"/>
      <c r="G122" s="168" t="s">
        <v>61</v>
      </c>
      <c r="H122" s="168"/>
      <c r="I122" s="168"/>
      <c r="J122" s="1"/>
      <c r="K122" s="1"/>
      <c r="L122" s="1"/>
      <c r="M122" s="1"/>
      <c r="N122" s="1"/>
      <c r="O122" s="1"/>
      <c r="P122" s="1"/>
      <c r="Q122" s="1"/>
      <c r="R122" s="1"/>
      <c r="S122" s="121"/>
      <c r="T122" s="162" t="s">
        <v>62</v>
      </c>
      <c r="U122" s="3"/>
      <c r="V122" s="3"/>
      <c r="W122" s="3"/>
      <c r="X122" s="3"/>
      <c r="Y122" s="3"/>
      <c r="Z122" s="1"/>
      <c r="AA122" s="1"/>
      <c r="AB122" s="163"/>
      <c r="AC122" s="138"/>
      <c r="AD122" s="1"/>
      <c r="AE122" s="1"/>
      <c r="AF122" s="165"/>
      <c r="AG122" s="165"/>
      <c r="AH122" s="165"/>
      <c r="AI122" s="165"/>
      <c r="AJ122" s="165"/>
      <c r="AK122" s="166"/>
      <c r="AL122" s="166"/>
      <c r="AM122" s="167"/>
      <c r="AQ122" s="1"/>
    </row>
    <row r="123" ht="18" customHeight="1" spans="1:43" x14ac:dyDescent="0.25">
      <c r="A123" s="158" t="s">
        <v>63</v>
      </c>
      <c r="B123" s="169" t="s">
        <v>64</v>
      </c>
      <c r="C123" s="169"/>
      <c r="D123" s="169"/>
      <c r="E123" s="169"/>
      <c r="F123" s="169"/>
      <c r="G123" s="170" t="s">
        <v>65</v>
      </c>
      <c r="H123" s="170"/>
      <c r="I123" s="170"/>
      <c r="J123" s="1"/>
      <c r="K123" s="1"/>
      <c r="L123" s="1"/>
      <c r="M123" s="1"/>
      <c r="N123" s="1"/>
      <c r="O123" s="1"/>
      <c r="P123" s="1"/>
      <c r="Q123" s="171"/>
      <c r="R123" s="120"/>
      <c r="S123" s="121"/>
      <c r="T123" s="172" t="s">
        <v>66</v>
      </c>
      <c r="U123" s="3"/>
      <c r="V123" s="3"/>
      <c r="W123" s="3"/>
      <c r="X123" s="3"/>
      <c r="Y123" s="3"/>
      <c r="Z123" s="1"/>
      <c r="AA123" s="1"/>
      <c r="AB123" s="163"/>
      <c r="AC123" s="138"/>
      <c r="AD123" s="1"/>
      <c r="AE123" s="164" t="s">
        <v>67</v>
      </c>
      <c r="AF123" s="165"/>
      <c r="AG123" s="165"/>
      <c r="AH123" s="165"/>
      <c r="AI123" s="165"/>
      <c r="AJ123" s="165"/>
      <c r="AK123" s="173">
        <f>COUNTA($B$13:$B$62)</f>
        <v>0</v>
      </c>
      <c r="AL123" s="173">
        <f>COUNTA($B$64:$B$113)</f>
        <v>0</v>
      </c>
      <c r="AM123" s="153">
        <f>AK123+AL123</f>
        <v>0</v>
      </c>
      <c r="AQ123" s="1"/>
    </row>
    <row r="124" ht="14.25" customHeight="1" spans="1:43" x14ac:dyDescent="0.25">
      <c r="A124" s="158"/>
      <c r="B124" s="169"/>
      <c r="C124" s="169"/>
      <c r="D124" s="169"/>
      <c r="E124" s="169"/>
      <c r="F124" s="169"/>
      <c r="G124" s="168" t="s">
        <v>68</v>
      </c>
      <c r="H124" s="168"/>
      <c r="I124" s="168"/>
      <c r="J124" s="1"/>
      <c r="K124" s="1"/>
      <c r="L124" s="1"/>
      <c r="M124" s="1"/>
      <c r="N124" s="1"/>
      <c r="O124" s="1"/>
      <c r="P124" s="1"/>
      <c r="Q124" s="120"/>
      <c r="R124" s="120"/>
      <c r="S124" s="121"/>
      <c r="T124" s="172" t="s">
        <v>69</v>
      </c>
      <c r="U124" s="1"/>
      <c r="V124" s="1"/>
      <c r="W124" s="1"/>
      <c r="X124" s="1"/>
      <c r="Y124" s="3"/>
      <c r="Z124" s="1"/>
      <c r="AA124" s="1"/>
      <c r="AB124" s="163"/>
      <c r="AC124" s="138"/>
      <c r="AD124" s="1"/>
      <c r="AE124" s="1"/>
      <c r="AF124" s="165"/>
      <c r="AG124" s="165"/>
      <c r="AH124" s="165"/>
      <c r="AI124" s="165"/>
      <c r="AJ124" s="165"/>
      <c r="AK124" s="174"/>
      <c r="AL124" s="174"/>
      <c r="AM124" s="157"/>
      <c r="AQ124" s="1"/>
    </row>
    <row r="125" ht="15.75" customHeight="1" spans="1:43" x14ac:dyDescent="0.25">
      <c r="A125" s="175" t="s">
        <v>70</v>
      </c>
      <c r="B125" s="159" t="s">
        <v>71</v>
      </c>
      <c r="C125" s="159"/>
      <c r="D125" s="159"/>
      <c r="E125" s="159"/>
      <c r="F125" s="159"/>
      <c r="G125" s="160" t="s">
        <v>72</v>
      </c>
      <c r="H125" s="160"/>
      <c r="I125" s="160"/>
      <c r="J125" s="1"/>
      <c r="K125" s="1"/>
      <c r="L125" s="1"/>
      <c r="M125" s="1"/>
      <c r="N125" s="1"/>
      <c r="O125" s="1"/>
      <c r="P125" s="1"/>
      <c r="Q125" s="161" t="s">
        <v>58</v>
      </c>
      <c r="R125" s="1"/>
      <c r="S125" s="121"/>
      <c r="T125" s="172" t="s">
        <v>73</v>
      </c>
      <c r="U125" s="1"/>
      <c r="V125" s="1"/>
      <c r="W125" s="1"/>
      <c r="X125" s="1"/>
      <c r="Y125" s="1"/>
      <c r="Z125" s="1"/>
      <c r="AA125" s="1"/>
      <c r="AB125" s="163"/>
      <c r="AC125" s="138"/>
      <c r="AD125" s="1"/>
      <c r="AE125" s="176" t="s">
        <v>74</v>
      </c>
      <c r="AF125" s="177"/>
      <c r="AG125" s="177"/>
      <c r="AH125" s="177"/>
      <c r="AI125" s="177"/>
      <c r="AJ125" s="177"/>
      <c r="AK125" s="178" t="e">
        <f>AK123/AK119</f>
        <v>#DIV/0!</v>
      </c>
      <c r="AL125" s="178" t="e">
        <f>AL123/AL119</f>
        <v>#DIV/0!</v>
      </c>
      <c r="AM125" s="179" t="e">
        <f>AM123/AM119</f>
        <v>#DIV/0!</v>
      </c>
      <c r="AQ125" s="1"/>
    </row>
    <row r="126" ht="19.5" customHeight="1" spans="1:43" x14ac:dyDescent="0.25">
      <c r="A126" s="175"/>
      <c r="B126" s="159"/>
      <c r="C126" s="159"/>
      <c r="D126" s="159"/>
      <c r="E126" s="159"/>
      <c r="F126" s="159"/>
      <c r="G126" s="161" t="s">
        <v>75</v>
      </c>
      <c r="H126" s="161"/>
      <c r="I126" s="161"/>
      <c r="J126" s="1"/>
      <c r="K126" s="1"/>
      <c r="L126" s="1"/>
      <c r="M126" s="1"/>
      <c r="N126" s="1"/>
      <c r="O126" s="1"/>
      <c r="P126" s="1"/>
      <c r="Q126" s="1"/>
      <c r="R126" s="1"/>
      <c r="S126" s="121"/>
      <c r="T126" s="172" t="s">
        <v>76</v>
      </c>
      <c r="U126" s="1"/>
      <c r="V126" s="1"/>
      <c r="W126" s="1"/>
      <c r="X126" s="1"/>
      <c r="Y126" s="1"/>
      <c r="Z126" s="1"/>
      <c r="AA126" s="1"/>
      <c r="AB126" s="163"/>
      <c r="AC126" s="138"/>
      <c r="AD126" s="1"/>
      <c r="AE126" s="1"/>
      <c r="AF126" s="177"/>
      <c r="AG126" s="177"/>
      <c r="AH126" s="177"/>
      <c r="AI126" s="177"/>
      <c r="AJ126" s="177"/>
      <c r="AK126" s="180"/>
      <c r="AL126" s="180"/>
      <c r="AM126" s="181"/>
      <c r="AQ126" s="1"/>
    </row>
    <row r="127" ht="26.25" customHeight="1" spans="1:43" x14ac:dyDescent="0.25">
      <c r="A127" s="135"/>
      <c r="B127" s="135"/>
      <c r="C127" s="135"/>
      <c r="D127" s="135"/>
      <c r="E127" s="135"/>
      <c r="F127" s="135"/>
      <c r="G127" s="135"/>
      <c r="H127" s="135"/>
      <c r="I127" s="135"/>
      <c r="J127" s="1"/>
      <c r="K127" s="1"/>
      <c r="L127" s="1"/>
      <c r="M127" s="1"/>
      <c r="N127" s="1"/>
      <c r="O127" s="1"/>
      <c r="P127" s="161"/>
      <c r="Q127" s="161"/>
      <c r="R127" s="120"/>
      <c r="S127" s="121"/>
      <c r="T127" s="162" t="s">
        <v>77</v>
      </c>
      <c r="U127" s="1"/>
      <c r="V127" s="1"/>
      <c r="W127" s="1"/>
      <c r="X127" s="1"/>
      <c r="Y127" s="1"/>
      <c r="Z127" s="1"/>
      <c r="AA127" s="1"/>
      <c r="AB127" s="3"/>
      <c r="AC127" s="138"/>
      <c r="AD127" s="1"/>
      <c r="AE127" s="182" t="s">
        <v>78</v>
      </c>
      <c r="AF127" s="183"/>
      <c r="AG127" s="183"/>
      <c r="AH127" s="183"/>
      <c r="AI127" s="183"/>
      <c r="AJ127" s="183"/>
      <c r="AK127" s="184">
        <f>AG63/AJ117</f>
        <v>0</v>
      </c>
      <c r="AL127" s="184">
        <f>AG114/AJ117</f>
        <v>0</v>
      </c>
      <c r="AM127" s="185">
        <f>AG115/AJ117</f>
        <v>0</v>
      </c>
      <c r="AQ127" s="1"/>
    </row>
    <row r="128" ht="16.5" customHeight="1" spans="1:43" x14ac:dyDescent="0.25">
      <c r="A128" s="186" t="s">
        <v>79</v>
      </c>
      <c r="B128" s="186"/>
      <c r="C128" s="186"/>
      <c r="D128" s="186"/>
      <c r="E128" s="186"/>
      <c r="F128" s="186"/>
      <c r="G128" s="186"/>
      <c r="H128" s="186"/>
      <c r="I128" s="186"/>
      <c r="J128" s="1"/>
      <c r="K128" s="1"/>
      <c r="L128" s="1"/>
      <c r="M128" s="1"/>
      <c r="N128" s="1"/>
      <c r="O128" s="1"/>
      <c r="P128" s="1"/>
      <c r="Q128" s="1"/>
      <c r="R128" s="171"/>
      <c r="S128" s="121"/>
      <c r="T128" s="172" t="s">
        <v>80</v>
      </c>
      <c r="U128" s="1"/>
      <c r="V128" s="1"/>
      <c r="W128" s="1"/>
      <c r="X128" s="1"/>
      <c r="Y128" s="1"/>
      <c r="Z128" s="1"/>
      <c r="AA128" s="1"/>
      <c r="AB128" s="163"/>
      <c r="AC128" s="138"/>
      <c r="AD128" s="1"/>
      <c r="AE128" s="164" t="s">
        <v>81</v>
      </c>
      <c r="AF128" s="165"/>
      <c r="AG128" s="165"/>
      <c r="AH128" s="165"/>
      <c r="AI128" s="165"/>
      <c r="AJ128" s="165"/>
      <c r="AK128" s="187" t="e">
        <f>AK127/AK123</f>
        <v>#DIV/0!</v>
      </c>
      <c r="AL128" s="187" t="e">
        <f>AL127/AL123</f>
        <v>#DIV/0!</v>
      </c>
      <c r="AM128" s="188" t="e">
        <f>AM127/AM123</f>
        <v>#DIV/0!</v>
      </c>
      <c r="AQ128" s="1"/>
    </row>
    <row r="129" ht="15.75" customHeight="1" spans="1:43" x14ac:dyDescent="0.25">
      <c r="A129" s="186"/>
      <c r="B129" s="186"/>
      <c r="C129" s="186"/>
      <c r="D129" s="186"/>
      <c r="E129" s="186"/>
      <c r="F129" s="186"/>
      <c r="G129" s="186"/>
      <c r="H129" s="186"/>
      <c r="I129" s="186"/>
      <c r="J129" s="1"/>
      <c r="K129" s="1"/>
      <c r="L129" s="1"/>
      <c r="M129" s="1"/>
      <c r="N129" s="1"/>
      <c r="O129" s="1"/>
      <c r="P129" s="1"/>
      <c r="Q129" s="1"/>
      <c r="R129" s="171"/>
      <c r="S129" s="121"/>
      <c r="T129" s="172" t="s">
        <v>82</v>
      </c>
      <c r="U129" s="1"/>
      <c r="V129" s="1"/>
      <c r="W129" s="1"/>
      <c r="X129" s="1"/>
      <c r="Y129" s="1"/>
      <c r="Z129" s="1"/>
      <c r="AA129" s="1"/>
      <c r="AB129" s="163"/>
      <c r="AC129" s="138"/>
      <c r="AD129" s="1"/>
      <c r="AE129" s="1"/>
      <c r="AF129" s="165"/>
      <c r="AG129" s="165"/>
      <c r="AH129" s="165"/>
      <c r="AI129" s="165"/>
      <c r="AJ129" s="165"/>
      <c r="AK129" s="174"/>
      <c r="AL129" s="187"/>
      <c r="AM129" s="188"/>
      <c r="AQ129" s="1"/>
    </row>
    <row r="130" ht="15.75" customHeight="1" spans="1:43" x14ac:dyDescent="0.25">
      <c r="A130" s="189" t="s">
        <v>83</v>
      </c>
      <c r="B130" s="189"/>
      <c r="C130" s="189"/>
      <c r="D130" s="189"/>
      <c r="E130" s="189"/>
      <c r="F130" s="189"/>
      <c r="G130" s="189"/>
      <c r="H130" s="189"/>
      <c r="I130" s="189"/>
      <c r="J130" s="1"/>
      <c r="K130" s="1"/>
      <c r="L130" s="1"/>
      <c r="M130" s="1"/>
      <c r="N130" s="1"/>
      <c r="O130" s="1"/>
      <c r="P130" s="1"/>
      <c r="Q130" s="1"/>
      <c r="R130" s="1"/>
      <c r="S130" s="121"/>
      <c r="T130" s="172" t="s">
        <v>84</v>
      </c>
      <c r="U130" s="1"/>
      <c r="V130" s="1"/>
      <c r="W130" s="1"/>
      <c r="X130" s="1"/>
      <c r="Y130" s="1"/>
      <c r="Z130" s="1"/>
      <c r="AA130" s="1"/>
      <c r="AB130" s="163"/>
      <c r="AC130" s="138"/>
      <c r="AD130" s="190"/>
      <c r="AE130" s="164" t="s">
        <v>85</v>
      </c>
      <c r="AF130" s="165"/>
      <c r="AG130" s="165"/>
      <c r="AH130" s="165"/>
      <c r="AI130" s="165"/>
      <c r="AJ130" s="165"/>
      <c r="AK130" s="191">
        <v>0</v>
      </c>
      <c r="AL130" s="191">
        <v>0</v>
      </c>
      <c r="AM130" s="192">
        <f>AK130+AL130</f>
        <v>0</v>
      </c>
      <c r="AQ130" s="1"/>
    </row>
    <row r="131" ht="16.5" customHeight="1" spans="1:43" x14ac:dyDescent="0.25">
      <c r="A131" s="189"/>
      <c r="B131" s="189"/>
      <c r="C131" s="189"/>
      <c r="D131" s="189"/>
      <c r="E131" s="189"/>
      <c r="F131" s="189"/>
      <c r="G131" s="189"/>
      <c r="H131" s="189"/>
      <c r="I131" s="189"/>
      <c r="J131" s="1"/>
      <c r="K131" s="1"/>
      <c r="L131" s="1"/>
      <c r="M131" s="1"/>
      <c r="N131" s="1"/>
      <c r="O131" s="1"/>
      <c r="P131" s="1"/>
      <c r="Q131" s="1"/>
      <c r="R131" s="1"/>
      <c r="S131" s="121"/>
      <c r="T131" s="172" t="s">
        <v>86</v>
      </c>
      <c r="U131" s="1"/>
      <c r="V131" s="1"/>
      <c r="W131" s="1"/>
      <c r="X131" s="1"/>
      <c r="Y131" s="1"/>
      <c r="Z131" s="1"/>
      <c r="AA131" s="1"/>
      <c r="AB131" s="3"/>
      <c r="AC131" s="138"/>
      <c r="AD131" s="1"/>
      <c r="AE131" s="1"/>
      <c r="AF131" s="165"/>
      <c r="AG131" s="165"/>
      <c r="AH131" s="165"/>
      <c r="AI131" s="165"/>
      <c r="AJ131" s="165"/>
      <c r="AK131" s="152"/>
      <c r="AL131" s="152"/>
      <c r="AM131" s="153"/>
      <c r="AQ131" s="1"/>
    </row>
    <row r="132" ht="14.25" customHeight="1" spans="1:43" x14ac:dyDescent="0.25">
      <c r="A132" s="120" t="s">
        <v>87</v>
      </c>
      <c r="B132" s="186"/>
      <c r="C132" s="186"/>
      <c r="D132" s="186"/>
      <c r="E132" s="186"/>
      <c r="F132" s="186"/>
      <c r="G132" s="193"/>
      <c r="H132" s="193"/>
      <c r="I132" s="193"/>
      <c r="J132" s="193"/>
      <c r="K132" s="193"/>
      <c r="L132" s="193"/>
      <c r="M132" s="193"/>
      <c r="N132" s="193"/>
      <c r="O132" s="193"/>
      <c r="P132" s="193"/>
      <c r="Q132" s="193"/>
      <c r="R132" s="171"/>
      <c r="S132" s="121"/>
      <c r="T132" s="172" t="s">
        <v>88</v>
      </c>
      <c r="U132" s="1"/>
      <c r="V132" s="1"/>
      <c r="W132" s="1"/>
      <c r="X132" s="1"/>
      <c r="Y132" s="1"/>
      <c r="Z132" s="1"/>
      <c r="AA132" s="1"/>
      <c r="AB132" s="163"/>
      <c r="AC132" s="138"/>
      <c r="AD132" s="1"/>
      <c r="AE132" s="194" t="s">
        <v>89</v>
      </c>
      <c r="AF132" s="195"/>
      <c r="AG132" s="195"/>
      <c r="AH132" s="195"/>
      <c r="AI132" s="195"/>
      <c r="AJ132" s="195"/>
      <c r="AK132" s="196">
        <f>COUNTIF(AH13:AI62,"NLS")</f>
        <v>0</v>
      </c>
      <c r="AL132" s="196">
        <f>COUNTIF(AH64:AI113,"NLS")</f>
        <v>0</v>
      </c>
      <c r="AM132" s="167">
        <f>AK132+AL132</f>
        <v>0</v>
      </c>
      <c r="AQ132" s="1"/>
    </row>
    <row r="133" ht="15.75" customHeight="1" spans="1:43" x14ac:dyDescent="0.25">
      <c r="A133" s="158" t="s">
        <v>90</v>
      </c>
      <c r="B133" s="189" t="s">
        <v>91</v>
      </c>
      <c r="C133" s="189"/>
      <c r="D133" s="189"/>
      <c r="E133" s="189"/>
      <c r="F133" s="189"/>
      <c r="G133" s="189"/>
      <c r="H133" s="189"/>
      <c r="I133" s="189"/>
      <c r="J133" s="1"/>
      <c r="K133" s="1"/>
      <c r="L133" s="1"/>
      <c r="M133" s="1"/>
      <c r="N133" s="1"/>
      <c r="O133" s="1"/>
      <c r="P133" s="1"/>
      <c r="Q133" s="1"/>
      <c r="R133" s="120"/>
      <c r="S133" s="121"/>
      <c r="T133" s="172" t="s">
        <v>92</v>
      </c>
      <c r="U133" s="1"/>
      <c r="V133" s="1"/>
      <c r="W133" s="1"/>
      <c r="X133" s="1"/>
      <c r="Y133" s="1"/>
      <c r="Z133" s="1"/>
      <c r="AA133" s="1"/>
      <c r="AB133" s="3"/>
      <c r="AC133" s="138"/>
      <c r="AD133" s="1"/>
      <c r="AE133" s="1"/>
      <c r="AF133" s="195"/>
      <c r="AG133" s="195"/>
      <c r="AH133" s="195"/>
      <c r="AI133" s="195"/>
      <c r="AJ133" s="195"/>
      <c r="AK133" s="196"/>
      <c r="AL133" s="196"/>
      <c r="AM133" s="167"/>
      <c r="AQ133" s="1"/>
    </row>
    <row r="134" ht="15.75" customHeight="1" spans="7:43" x14ac:dyDescent="0.25">
      <c r="G134" s="119"/>
      <c r="H134" s="119"/>
      <c r="I134" s="119"/>
      <c r="J134" s="119"/>
      <c r="K134" s="197"/>
      <c r="L134" s="197"/>
      <c r="M134" s="197"/>
      <c r="N134" s="197"/>
      <c r="O134" s="1"/>
      <c r="P134" s="1"/>
      <c r="Q134" s="1"/>
      <c r="R134" s="1"/>
      <c r="S134" s="121"/>
      <c r="T134" s="172" t="s">
        <v>93</v>
      </c>
      <c r="U134" s="1"/>
      <c r="V134" s="1"/>
      <c r="W134" s="1"/>
      <c r="X134" s="1"/>
      <c r="Y134" s="1"/>
      <c r="Z134" s="1"/>
      <c r="AA134" s="1"/>
      <c r="AB134" s="1"/>
      <c r="AC134" s="138"/>
      <c r="AD134" s="1"/>
      <c r="AE134" s="194" t="s">
        <v>94</v>
      </c>
      <c r="AF134" s="195"/>
      <c r="AG134" s="195"/>
      <c r="AH134" s="195"/>
      <c r="AI134" s="195"/>
      <c r="AJ134" s="195"/>
      <c r="AK134" s="174">
        <f>COUNTIF(AH13:AI62,"Transferred Out")</f>
        <v>0</v>
      </c>
      <c r="AL134" s="174">
        <f>COUNTIF(AH64:AI113,"Transferred Out")</f>
        <v>0</v>
      </c>
      <c r="AM134" s="157">
        <f>AK134+AL134</f>
        <v>0</v>
      </c>
      <c r="AQ134" s="1"/>
    </row>
    <row r="135" ht="14.25" customHeight="1" spans="2:43" x14ac:dyDescent="0.25">
      <c r="B135" s="119"/>
      <c r="C135" s="119"/>
      <c r="D135" s="119"/>
      <c r="E135" s="119"/>
      <c r="F135" s="119"/>
      <c r="G135" s="119"/>
      <c r="H135" s="119"/>
      <c r="I135" s="119"/>
      <c r="J135" s="119"/>
      <c r="K135" s="1"/>
      <c r="L135" s="1"/>
      <c r="M135" s="1"/>
      <c r="N135" s="1"/>
      <c r="O135" s="1"/>
      <c r="P135" s="1"/>
      <c r="Q135" s="1"/>
      <c r="R135" s="1"/>
      <c r="S135" s="121"/>
      <c r="T135" s="162" t="s">
        <v>95</v>
      </c>
      <c r="U135" s="1"/>
      <c r="V135" s="1"/>
      <c r="W135" s="1"/>
      <c r="X135" s="1"/>
      <c r="Y135" s="1"/>
      <c r="Z135" s="163"/>
      <c r="AA135" s="163"/>
      <c r="AB135" s="163"/>
      <c r="AC135" s="138"/>
      <c r="AD135" s="1"/>
      <c r="AE135" s="1"/>
      <c r="AF135" s="195"/>
      <c r="AG135" s="195"/>
      <c r="AH135" s="195"/>
      <c r="AI135" s="195"/>
      <c r="AJ135" s="195"/>
      <c r="AK135" s="174"/>
      <c r="AL135" s="174"/>
      <c r="AM135" s="157"/>
      <c r="AQ135" s="1"/>
    </row>
    <row r="136" ht="15" customHeight="1" spans="2:43" x14ac:dyDescent="0.25">
      <c r="B136" s="198"/>
      <c r="C136" s="198"/>
      <c r="D136" s="198"/>
      <c r="E136" s="198"/>
      <c r="F136" s="198"/>
      <c r="G136" s="198"/>
      <c r="H136" s="198"/>
      <c r="I136" s="198"/>
      <c r="J136" s="1"/>
      <c r="K136" s="1"/>
      <c r="L136" s="1"/>
      <c r="M136" s="1"/>
      <c r="N136" s="1"/>
      <c r="O136" s="1"/>
      <c r="P136" s="1"/>
      <c r="Q136" s="1"/>
      <c r="R136" s="1"/>
      <c r="S136" s="121"/>
      <c r="T136" s="172" t="s">
        <v>96</v>
      </c>
      <c r="U136" s="1"/>
      <c r="V136" s="1"/>
      <c r="W136" s="1"/>
      <c r="X136" s="1"/>
      <c r="Y136" s="1"/>
      <c r="Z136" s="1"/>
      <c r="AA136" s="1"/>
      <c r="AB136" s="1"/>
      <c r="AC136" s="138"/>
      <c r="AD136" s="148"/>
      <c r="AE136" s="194" t="s">
        <v>97</v>
      </c>
      <c r="AF136" s="195"/>
      <c r="AG136" s="195"/>
      <c r="AH136" s="195"/>
      <c r="AI136" s="195"/>
      <c r="AJ136" s="195"/>
      <c r="AK136" s="174">
        <f>COUNTIF(AH13:AI62,"Transferred In")</f>
        <v>0</v>
      </c>
      <c r="AL136" s="174">
        <f>COUNTIF(AH64:AI113,"Transferred In")</f>
        <v>0</v>
      </c>
      <c r="AM136" s="157">
        <f>AK136+AL136</f>
        <v>0</v>
      </c>
      <c r="AQ136" s="1"/>
    </row>
    <row r="137" ht="15.75" customHeight="1" spans="2:43" x14ac:dyDescent="0.25">
      <c r="B137" s="198"/>
      <c r="C137" s="198"/>
      <c r="D137" s="198"/>
      <c r="E137" s="198"/>
      <c r="F137" s="198"/>
      <c r="G137" s="198"/>
      <c r="H137" s="198"/>
      <c r="I137" s="198"/>
      <c r="J137" s="1"/>
      <c r="K137" s="1"/>
      <c r="L137" s="1"/>
      <c r="M137" s="1"/>
      <c r="N137" s="1"/>
      <c r="O137" s="1"/>
      <c r="P137" s="1"/>
      <c r="Q137" s="1"/>
      <c r="R137" s="1"/>
      <c r="S137" s="121"/>
      <c r="T137" s="172" t="s">
        <v>98</v>
      </c>
      <c r="U137" s="1"/>
      <c r="V137" s="1"/>
      <c r="W137" s="1"/>
      <c r="X137" s="1"/>
      <c r="Y137" s="1"/>
      <c r="Z137" s="1"/>
      <c r="AA137" s="1"/>
      <c r="AB137" s="1"/>
      <c r="AC137" s="138"/>
      <c r="AD137" s="1"/>
      <c r="AE137" s="1"/>
      <c r="AF137" s="146"/>
      <c r="AG137" s="146"/>
      <c r="AH137" s="146"/>
      <c r="AI137" s="146"/>
      <c r="AJ137" s="146"/>
      <c r="AK137" s="200"/>
      <c r="AL137" s="200"/>
      <c r="AM137" s="201"/>
      <c r="AQ137" s="1"/>
    </row>
    <row r="138" ht="14.25" customHeight="1" spans="2:43" x14ac:dyDescent="0.25">
      <c r="B138" s="3"/>
      <c r="C138" s="3"/>
      <c r="D138" s="3"/>
      <c r="E138" s="3"/>
      <c r="F138" s="3"/>
      <c r="J138" s="1"/>
      <c r="K138" s="1"/>
      <c r="L138" s="1"/>
      <c r="M138" s="1"/>
      <c r="N138" s="1"/>
      <c r="O138" s="1"/>
      <c r="P138" s="1"/>
      <c r="Q138" s="1"/>
      <c r="R138" s="1"/>
      <c r="S138" s="121"/>
      <c r="T138" s="172" t="s">
        <v>99</v>
      </c>
      <c r="U138" s="1"/>
      <c r="V138" s="1"/>
      <c r="W138" s="1"/>
      <c r="X138" s="1"/>
      <c r="Y138" s="1"/>
      <c r="Z138" s="1"/>
      <c r="AA138" s="1"/>
      <c r="AB138" s="1"/>
      <c r="AC138" s="138"/>
      <c r="AD138" s="1"/>
      <c r="AE138" s="1"/>
      <c r="AQ138" s="1"/>
    </row>
    <row r="139" spans="2:43" x14ac:dyDescent="0.25">
      <c r="B139" s="3"/>
      <c r="C139" s="3"/>
      <c r="D139" s="3"/>
      <c r="E139" s="3"/>
      <c r="F139" s="3"/>
      <c r="G139" s="3"/>
      <c r="H139" s="3"/>
      <c r="I139" s="3"/>
      <c r="J139" s="3"/>
      <c r="K139" s="1"/>
      <c r="L139" s="1"/>
      <c r="M139" s="1"/>
      <c r="N139" s="1"/>
      <c r="O139" s="1"/>
      <c r="P139" s="1"/>
      <c r="Q139" s="1"/>
      <c r="R139" s="1"/>
      <c r="S139" s="121"/>
      <c r="T139" s="162" t="s">
        <v>100</v>
      </c>
      <c r="U139" s="1"/>
      <c r="V139" s="1"/>
      <c r="W139" s="1"/>
      <c r="X139" s="1"/>
      <c r="Y139" s="1"/>
      <c r="Z139" s="1"/>
      <c r="AA139" s="1"/>
      <c r="AB139" s="1"/>
      <c r="AC139" s="138"/>
      <c r="AD139" s="1"/>
      <c r="AE139" s="202" t="s">
        <v>101</v>
      </c>
      <c r="AM139" s="203"/>
      <c r="AQ139" s="1"/>
    </row>
    <row r="140" spans="2:43" x14ac:dyDescent="0.25">
      <c r="B140" s="204"/>
      <c r="C140" s="204"/>
      <c r="D140" s="204"/>
      <c r="E140" s="204"/>
      <c r="F140" s="204"/>
      <c r="G140" s="3"/>
      <c r="H140" s="3"/>
      <c r="I140" s="3"/>
      <c r="J140" s="3"/>
      <c r="K140" s="1"/>
      <c r="L140" s="1"/>
      <c r="M140" s="1"/>
      <c r="N140" s="1"/>
      <c r="O140" s="1"/>
      <c r="P140" s="1"/>
      <c r="Q140" s="1"/>
      <c r="R140" s="1"/>
      <c r="S140" s="121"/>
      <c r="T140" s="172" t="s">
        <v>102</v>
      </c>
      <c r="U140" s="1"/>
      <c r="V140" s="1"/>
      <c r="W140" s="1"/>
      <c r="X140" s="1"/>
      <c r="Y140" s="1"/>
      <c r="Z140" s="1"/>
      <c r="AA140" s="1"/>
      <c r="AB140" s="1"/>
      <c r="AC140" s="138"/>
      <c r="AD140" s="1"/>
      <c r="AE140" s="205"/>
      <c r="AF140" s="205"/>
      <c r="AG140" s="205"/>
      <c r="AH140" s="205"/>
      <c r="AI140" s="205"/>
      <c r="AJ140" s="205"/>
      <c r="AK140" s="205"/>
      <c r="AL140" s="205"/>
      <c r="AM140" s="205"/>
      <c r="AQ140" s="1"/>
    </row>
    <row r="141" ht="12" customHeight="1" spans="2:43" x14ac:dyDescent="0.25">
      <c r="B141" s="204"/>
      <c r="C141" s="204"/>
      <c r="D141" s="204"/>
      <c r="E141" s="204"/>
      <c r="F141" s="204"/>
      <c r="J141" s="1"/>
      <c r="K141" s="1"/>
      <c r="L141" s="1"/>
      <c r="M141" s="1"/>
      <c r="N141" s="1"/>
      <c r="O141" s="1"/>
      <c r="P141" s="1"/>
      <c r="Q141" s="1"/>
      <c r="R141" s="1"/>
      <c r="S141" s="121"/>
      <c r="T141" s="206" t="s">
        <v>103</v>
      </c>
      <c r="U141" s="1"/>
      <c r="V141" s="1"/>
      <c r="W141" s="1"/>
      <c r="X141" s="1"/>
      <c r="Y141" s="1"/>
      <c r="Z141" s="1"/>
      <c r="AA141" s="1"/>
      <c r="AB141" s="1"/>
      <c r="AC141" s="1"/>
      <c r="AD141" s="1"/>
      <c r="AE141" s="1"/>
      <c r="AF141" s="97"/>
      <c r="AG141" s="97"/>
      <c r="AH141" s="97"/>
      <c r="AI141" s="97"/>
      <c r="AJ141" s="97"/>
      <c r="AK141" s="97"/>
      <c r="AL141" s="97"/>
      <c r="AM141" s="97"/>
      <c r="AQ141" s="1"/>
    </row>
    <row r="142" spans="2:43" x14ac:dyDescent="0.25">
      <c r="B142" s="204"/>
      <c r="C142" s="204"/>
      <c r="D142" s="204"/>
      <c r="E142" s="204"/>
      <c r="F142" s="204"/>
      <c r="J142" s="1"/>
      <c r="K142" s="1"/>
      <c r="L142" s="1"/>
      <c r="M142" s="1"/>
      <c r="N142" s="1"/>
      <c r="O142" s="1"/>
      <c r="P142" s="1"/>
      <c r="Q142" s="1"/>
      <c r="R142" s="1"/>
      <c r="S142" s="121"/>
      <c r="T142" s="1"/>
      <c r="U142" s="1"/>
      <c r="V142" s="1"/>
      <c r="W142" s="1"/>
      <c r="X142" s="1"/>
      <c r="Y142" s="1"/>
      <c r="Z142" s="1"/>
      <c r="AA142" s="1"/>
      <c r="AB142" s="1"/>
      <c r="AC142" s="1"/>
      <c r="AD142" s="1"/>
      <c r="AE142" s="208" t="s">
        <v>104</v>
      </c>
      <c r="AF142" s="208"/>
      <c r="AG142" s="208"/>
      <c r="AH142" s="208"/>
      <c r="AI142" s="208"/>
      <c r="AJ142" s="208"/>
      <c r="AK142" s="208"/>
      <c r="AL142" s="208"/>
      <c r="AM142" s="208"/>
      <c r="AQ142" s="1"/>
    </row>
    <row r="143" spans="2:43" x14ac:dyDescent="0.25">
      <c r="B143" s="204"/>
      <c r="C143" s="204"/>
      <c r="D143" s="204"/>
      <c r="E143" s="204"/>
      <c r="F143" s="204"/>
      <c r="J143" s="1"/>
      <c r="K143" s="1"/>
      <c r="L143" s="1"/>
      <c r="M143" s="1"/>
      <c r="N143" s="1"/>
      <c r="O143" s="1"/>
      <c r="P143" s="1"/>
      <c r="Q143" s="1"/>
      <c r="R143" s="1"/>
      <c r="S143" s="1"/>
      <c r="T143" s="172" t="s">
        <v>105</v>
      </c>
      <c r="U143" s="1"/>
      <c r="V143" s="1"/>
      <c r="W143" s="1"/>
      <c r="X143" s="1"/>
      <c r="Y143" s="1"/>
      <c r="Z143" s="1"/>
      <c r="AA143" s="1"/>
      <c r="AB143" s="1"/>
      <c r="AC143" s="209"/>
      <c r="AD143" s="1"/>
      <c r="AE143" s="1"/>
      <c r="AQ143" s="1"/>
    </row>
    <row r="144" ht="14.25" customHeight="1" spans="2:43" x14ac:dyDescent="0.25">
      <c r="B144" s="3"/>
      <c r="C144" s="3"/>
      <c r="D144" s="3"/>
      <c r="E144" s="3"/>
      <c r="F144" s="3"/>
      <c r="J144" s="1"/>
      <c r="K144" s="1"/>
      <c r="L144" s="1"/>
      <c r="M144" s="1"/>
      <c r="N144" s="1"/>
      <c r="O144" s="1"/>
      <c r="P144" s="1"/>
      <c r="Q144" s="1"/>
      <c r="R144" s="1"/>
      <c r="S144" s="1"/>
      <c r="T144" s="162" t="s">
        <v>106</v>
      </c>
      <c r="U144" s="1"/>
      <c r="V144" s="1"/>
      <c r="W144" s="1"/>
      <c r="X144" s="1"/>
      <c r="Y144" s="1"/>
      <c r="Z144" s="1"/>
      <c r="AA144" s="1"/>
      <c r="AB144" s="1"/>
      <c r="AC144" s="209"/>
      <c r="AD144" s="1"/>
      <c r="AE144" s="1" t="s">
        <v>107</v>
      </c>
      <c r="AG144" s="202"/>
      <c r="AH144" s="202"/>
      <c r="AI144" s="202"/>
      <c r="AJ144" s="202"/>
      <c r="AK144" s="202"/>
      <c r="AL144" s="202"/>
      <c r="AQ144" s="1"/>
    </row>
    <row r="145" ht="27.65" customHeight="1" spans="1:43" x14ac:dyDescent="0.25">
      <c r="A145" s="210"/>
      <c r="B145" s="210"/>
      <c r="C145" s="210"/>
      <c r="D145" s="210"/>
      <c r="E145" s="210"/>
      <c r="F145" s="210"/>
      <c r="J145" s="1"/>
      <c r="K145" s="1"/>
      <c r="L145" s="1"/>
      <c r="M145" s="1"/>
      <c r="N145" s="1"/>
      <c r="O145" s="1"/>
      <c r="P145" s="1"/>
      <c r="Q145" s="1"/>
      <c r="R145" s="1"/>
      <c r="S145" s="1"/>
      <c r="T145" s="172" t="s">
        <v>108</v>
      </c>
      <c r="U145" s="1"/>
      <c r="V145" s="1"/>
      <c r="W145" s="1"/>
      <c r="X145" s="1"/>
      <c r="Y145" s="1"/>
      <c r="Z145" s="1"/>
      <c r="AA145" s="1"/>
      <c r="AB145" s="1"/>
      <c r="AC145" s="209"/>
      <c r="AD145" s="1"/>
      <c r="AE145" s="97"/>
      <c r="AF145" s="97"/>
      <c r="AG145" s="97"/>
      <c r="AH145" s="97"/>
      <c r="AI145" s="97"/>
      <c r="AJ145" s="97"/>
      <c r="AK145" s="97"/>
      <c r="AL145" s="97"/>
      <c r="AM145" s="97"/>
      <c r="AQ145" s="1"/>
    </row>
    <row r="146" ht="14.25" customHeight="1" spans="1:43" x14ac:dyDescent="0.25">
      <c r="A146" s="210"/>
      <c r="B146" s="210"/>
      <c r="C146" s="210"/>
      <c r="D146" s="210"/>
      <c r="E146" s="210"/>
      <c r="F146" s="210"/>
      <c r="J146" s="1"/>
      <c r="K146" s="1"/>
      <c r="L146" s="1"/>
      <c r="M146" s="1"/>
      <c r="N146" s="1"/>
      <c r="O146" s="1"/>
      <c r="P146" s="1"/>
      <c r="Q146" s="1"/>
      <c r="R146" s="1"/>
      <c r="S146" s="1"/>
      <c r="T146" s="211" t="s">
        <v>109</v>
      </c>
      <c r="U146" s="212"/>
      <c r="V146" s="212"/>
      <c r="W146" s="212"/>
      <c r="X146" s="212"/>
      <c r="Y146" s="212"/>
      <c r="Z146" s="212"/>
      <c r="AA146" s="212"/>
      <c r="AB146" s="212"/>
      <c r="AC146" s="213"/>
      <c r="AD146" s="1"/>
      <c r="AE146" s="208" t="s">
        <v>110</v>
      </c>
      <c r="AF146" s="208"/>
      <c r="AG146" s="208"/>
      <c r="AH146" s="208"/>
      <c r="AI146" s="208"/>
      <c r="AJ146" s="208"/>
      <c r="AK146" s="208"/>
      <c r="AL146" s="208"/>
      <c r="AM146" s="208"/>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1"/>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1"/>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1"/>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1"/>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1"/>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1"/>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1"/>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1"/>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1"/>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1"/>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1"/>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1"/>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1"/>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1"/>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1"/>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1"/>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1"/>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1"/>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1"/>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1"/>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1"/>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1"/>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1"/>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1"/>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1"/>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1"/>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1"/>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1"/>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1"/>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1"/>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1"/>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1"/>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1"/>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1"/>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1"/>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1"/>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1"/>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1"/>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1"/>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1"/>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1"/>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1"/>
    </row>
    <row r="55" ht="21.9" customHeight="1" spans="1:43" x14ac:dyDescent="0.25">
      <c r="A55" s="62">
        <v>43</v>
      </c>
      <c r="B55" s="77"/>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1"/>
    </row>
    <row r="56" ht="21.9" customHeight="1" spans="1:43" x14ac:dyDescent="0.25">
      <c r="A56" s="62">
        <v>44</v>
      </c>
      <c r="B56" s="77"/>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1"/>
    </row>
    <row r="57" ht="21.9" customHeight="1" spans="1:43" x14ac:dyDescent="0.25">
      <c r="A57" s="62">
        <v>45</v>
      </c>
      <c r="B57" s="77"/>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1"/>
    </row>
    <row r="58" ht="21.9" customHeight="1" spans="1:43" x14ac:dyDescent="0.25">
      <c r="A58" s="62">
        <v>46</v>
      </c>
      <c r="B58" s="77"/>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1"/>
    </row>
    <row r="59" ht="21.9" customHeight="1" spans="1:43" x14ac:dyDescent="0.25">
      <c r="A59" s="62">
        <v>47</v>
      </c>
      <c r="B59" s="77"/>
      <c r="C59" s="78"/>
      <c r="D59" s="78"/>
      <c r="E59" s="78"/>
      <c r="F59" s="78"/>
      <c r="G59" s="79"/>
      <c r="H59" s="80"/>
      <c r="I59" s="80"/>
      <c r="J59" s="80"/>
      <c r="K59" s="81"/>
      <c r="L59" s="82"/>
      <c r="M59" s="80"/>
      <c r="N59" s="80"/>
      <c r="O59" s="80"/>
      <c r="P59" s="83"/>
      <c r="Q59" s="79"/>
      <c r="R59" s="80"/>
      <c r="S59" s="80"/>
      <c r="T59" s="80"/>
      <c r="U59" s="81"/>
      <c r="V59" s="82"/>
      <c r="W59" s="80"/>
      <c r="X59" s="80"/>
      <c r="Y59" s="80"/>
      <c r="Z59" s="83"/>
      <c r="AA59" s="79"/>
      <c r="AB59" s="80"/>
      <c r="AC59" s="80"/>
      <c r="AD59" s="83"/>
      <c r="AE59" s="81"/>
      <c r="AF59" s="72">
        <f t="shared" si="0"/>
      </c>
      <c r="AG59" s="73">
        <f t="shared" si="2"/>
      </c>
      <c r="AH59" s="74"/>
      <c r="AI59" s="75"/>
      <c r="AJ59" s="75"/>
      <c r="AK59" s="75"/>
      <c r="AL59" s="75"/>
      <c r="AM59" s="76"/>
      <c r="AQ59" s="1"/>
    </row>
    <row r="60" ht="21.9" customHeight="1" spans="1:43" x14ac:dyDescent="0.25">
      <c r="A60" s="62">
        <v>48</v>
      </c>
      <c r="B60" s="77"/>
      <c r="C60" s="78"/>
      <c r="D60" s="78"/>
      <c r="E60" s="78"/>
      <c r="F60" s="78"/>
      <c r="G60" s="79"/>
      <c r="H60" s="80"/>
      <c r="I60" s="80"/>
      <c r="J60" s="80"/>
      <c r="K60" s="81"/>
      <c r="L60" s="82"/>
      <c r="M60" s="80"/>
      <c r="N60" s="80"/>
      <c r="O60" s="80"/>
      <c r="P60" s="83"/>
      <c r="Q60" s="79"/>
      <c r="R60" s="80"/>
      <c r="S60" s="80"/>
      <c r="T60" s="80"/>
      <c r="U60" s="81"/>
      <c r="V60" s="82"/>
      <c r="W60" s="80"/>
      <c r="X60" s="80"/>
      <c r="Y60" s="80"/>
      <c r="Z60" s="83"/>
      <c r="AA60" s="79"/>
      <c r="AB60" s="80"/>
      <c r="AC60" s="80"/>
      <c r="AD60" s="83"/>
      <c r="AE60" s="81"/>
      <c r="AF60" s="72">
        <f t="shared" si="0"/>
      </c>
      <c r="AG60" s="73">
        <f t="shared" si="2"/>
      </c>
      <c r="AH60" s="74"/>
      <c r="AI60" s="75"/>
      <c r="AJ60" s="75"/>
      <c r="AK60" s="75"/>
      <c r="AL60" s="75"/>
      <c r="AM60" s="76"/>
      <c r="AQ60" s="1"/>
    </row>
    <row r="61" ht="21.9" customHeight="1" spans="1:43" x14ac:dyDescent="0.25">
      <c r="A61" s="62">
        <v>49</v>
      </c>
      <c r="B61" s="77"/>
      <c r="C61" s="78"/>
      <c r="D61" s="78"/>
      <c r="E61" s="78"/>
      <c r="F61" s="78"/>
      <c r="G61" s="79"/>
      <c r="H61" s="80"/>
      <c r="I61" s="80"/>
      <c r="J61" s="80"/>
      <c r="K61" s="81"/>
      <c r="L61" s="82"/>
      <c r="M61" s="80"/>
      <c r="N61" s="80"/>
      <c r="O61" s="80"/>
      <c r="P61" s="83"/>
      <c r="Q61" s="79"/>
      <c r="R61" s="80"/>
      <c r="S61" s="80"/>
      <c r="T61" s="80"/>
      <c r="U61" s="81"/>
      <c r="V61" s="82"/>
      <c r="W61" s="80"/>
      <c r="X61" s="80"/>
      <c r="Y61" s="80"/>
      <c r="Z61" s="83"/>
      <c r="AA61" s="79"/>
      <c r="AB61" s="80"/>
      <c r="AC61" s="80"/>
      <c r="AD61" s="83"/>
      <c r="AE61" s="81"/>
      <c r="AF61" s="72">
        <f t="shared" si="0"/>
      </c>
      <c r="AG61" s="73">
        <f t="shared" si="2"/>
      </c>
      <c r="AH61" s="74"/>
      <c r="AI61" s="75"/>
      <c r="AJ61" s="75"/>
      <c r="AK61" s="75"/>
      <c r="AL61" s="75"/>
      <c r="AM61" s="76"/>
      <c r="AQ61" s="1"/>
    </row>
    <row r="62" ht="21.9" customHeight="1" spans="1:43" x14ac:dyDescent="0.25">
      <c r="A62" s="79">
        <v>50</v>
      </c>
      <c r="B62" s="84"/>
      <c r="C62" s="78"/>
      <c r="D62" s="78"/>
      <c r="E62" s="78"/>
      <c r="F62" s="78"/>
      <c r="G62" s="79"/>
      <c r="H62" s="80"/>
      <c r="I62" s="80"/>
      <c r="J62" s="80"/>
      <c r="K62" s="81"/>
      <c r="L62" s="82"/>
      <c r="M62" s="80"/>
      <c r="N62" s="80"/>
      <c r="O62" s="80"/>
      <c r="P62" s="83"/>
      <c r="Q62" s="79"/>
      <c r="R62" s="80"/>
      <c r="S62" s="80"/>
      <c r="T62" s="80"/>
      <c r="U62" s="81"/>
      <c r="V62" s="82"/>
      <c r="W62" s="80"/>
      <c r="X62" s="80"/>
      <c r="Y62" s="80"/>
      <c r="Z62" s="83"/>
      <c r="AA62" s="79"/>
      <c r="AB62" s="80"/>
      <c r="AC62" s="80"/>
      <c r="AD62" s="83"/>
      <c r="AE62" s="81"/>
      <c r="AF62" s="72">
        <f t="shared" si="0"/>
      </c>
      <c r="AG62" s="73">
        <f t="shared" si="2"/>
      </c>
      <c r="AH62" s="74"/>
      <c r="AI62" s="75"/>
      <c r="AJ62" s="85"/>
      <c r="AK62" s="85"/>
      <c r="AL62" s="85"/>
      <c r="AM62" s="86"/>
      <c r="AQ62" s="1"/>
    </row>
    <row r="63" ht="21.9" customHeight="1" spans="1:43" x14ac:dyDescent="0.25">
      <c r="A63" s="87"/>
      <c r="B63" s="88" t="s">
        <v>36</v>
      </c>
      <c r="C63" s="88"/>
      <c r="D63" s="88"/>
      <c r="E63" s="88"/>
      <c r="F63" s="88"/>
      <c r="G63" s="89">
        <f t="shared" ref="G63:AE63" si="3">IF(G10="","",COUNTA($B$13:$B$62)-(COUNTIF(G13:G62,"x")*1+COUNTIF(G13:G62,"h")*0.5))</f>
        <v>0</v>
      </c>
      <c r="H63" s="90">
        <f t="shared" si="3"/>
        <v>0</v>
      </c>
      <c r="I63" s="90">
        <f t="shared" si="3"/>
        <v>0</v>
      </c>
      <c r="J63" s="90">
        <f t="shared" si="3"/>
        <v>0</v>
      </c>
      <c r="K63" s="91">
        <f t="shared" si="3"/>
        <v>0</v>
      </c>
      <c r="L63" s="89">
        <f t="shared" si="3"/>
        <v>0</v>
      </c>
      <c r="M63" s="90">
        <f t="shared" si="3"/>
        <v>0</v>
      </c>
      <c r="N63" s="90">
        <f t="shared" si="3"/>
        <v>0</v>
      </c>
      <c r="O63" s="90">
        <f t="shared" si="3"/>
        <v>0</v>
      </c>
      <c r="P63" s="91">
        <f t="shared" si="3"/>
        <v>0</v>
      </c>
      <c r="Q63" s="89">
        <f t="shared" si="3"/>
        <v>0</v>
      </c>
      <c r="R63" s="90">
        <f t="shared" si="3"/>
        <v>0</v>
      </c>
      <c r="S63" s="90">
        <f t="shared" si="3"/>
        <v>0</v>
      </c>
      <c r="T63" s="90">
        <f t="shared" si="3"/>
        <v>0</v>
      </c>
      <c r="U63" s="91">
        <f t="shared" si="3"/>
        <v>0</v>
      </c>
      <c r="V63" s="89">
        <f t="shared" si="3"/>
        <v>0</v>
      </c>
      <c r="W63" s="90">
        <f t="shared" si="3"/>
        <v>0</v>
      </c>
      <c r="X63" s="90">
        <f t="shared" si="3"/>
        <v>0</v>
      </c>
      <c r="Y63" s="90">
        <f t="shared" si="3"/>
        <v>0</v>
      </c>
      <c r="Z63" s="91">
        <f t="shared" si="3"/>
        <v>0</v>
      </c>
      <c r="AA63" s="89">
        <f t="shared" si="3"/>
      </c>
      <c r="AB63" s="90">
        <f t="shared" si="3"/>
      </c>
      <c r="AC63" s="90">
        <f t="shared" si="3"/>
      </c>
      <c r="AD63" s="90">
        <f t="shared" si="3"/>
      </c>
      <c r="AE63" s="91">
        <f t="shared" si="3"/>
      </c>
      <c r="AF63" s="92">
        <f>SUM(AF13:AF62)</f>
        <v>0</v>
      </c>
      <c r="AG63" s="93">
        <f>SUM(AG13:AG62)</f>
        <v>0</v>
      </c>
      <c r="AH63" s="94"/>
      <c r="AI63" s="95"/>
      <c r="AJ63" s="95"/>
      <c r="AK63" s="95"/>
      <c r="AL63" s="95"/>
      <c r="AM63" s="96"/>
      <c r="AQ63" s="1"/>
    </row>
    <row r="64" ht="21.9" customHeight="1" spans="1:43" x14ac:dyDescent="0.25">
      <c r="A64" s="62">
        <v>1</v>
      </c>
      <c r="B64" s="63" t="s">
        <v>37</v>
      </c>
      <c r="C64" s="97"/>
      <c r="D64" s="97"/>
      <c r="E64" s="97"/>
      <c r="F64" s="97"/>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1"/>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1"/>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1"/>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1"/>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1"/>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1"/>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1"/>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1"/>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1"/>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1"/>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1"/>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1"/>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1"/>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1"/>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1"/>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1"/>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1"/>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1"/>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1"/>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1"/>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1"/>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1"/>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1"/>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1"/>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1"/>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1"/>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1"/>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1"/>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1"/>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1"/>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1"/>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1"/>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1"/>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1"/>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1"/>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1"/>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1"/>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1"/>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1"/>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1"/>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1"/>
    </row>
    <row r="105" ht="21.9" customHeight="1" spans="1:43" x14ac:dyDescent="0.25">
      <c r="A105" s="62">
        <v>42</v>
      </c>
      <c r="B105" s="77"/>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1"/>
    </row>
    <row r="106" ht="21.9" customHeight="1" spans="1:43" x14ac:dyDescent="0.25">
      <c r="A106" s="62">
        <v>43</v>
      </c>
      <c r="B106" s="77"/>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1"/>
    </row>
    <row r="107" ht="21.9" customHeight="1" spans="1:43" x14ac:dyDescent="0.25">
      <c r="A107" s="62">
        <v>44</v>
      </c>
      <c r="B107" s="77"/>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1"/>
    </row>
    <row r="108" ht="21.9" customHeight="1" spans="1:43" x14ac:dyDescent="0.25">
      <c r="A108" s="62">
        <v>45</v>
      </c>
      <c r="B108" s="77"/>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1"/>
    </row>
    <row r="109" ht="21.9" customHeight="1" spans="1:43" x14ac:dyDescent="0.25">
      <c r="A109" s="62">
        <v>46</v>
      </c>
      <c r="B109" s="77"/>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1"/>
    </row>
    <row r="110" ht="21.9" customHeight="1" spans="1:43" x14ac:dyDescent="0.25">
      <c r="A110" s="62">
        <v>47</v>
      </c>
      <c r="B110" s="77"/>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1"/>
    </row>
    <row r="111" ht="21.9" customHeight="1" spans="1:43" x14ac:dyDescent="0.25">
      <c r="A111" s="62">
        <v>48</v>
      </c>
      <c r="B111" s="77"/>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1"/>
    </row>
    <row r="112" ht="21.9" customHeight="1" spans="1:43" x14ac:dyDescent="0.25">
      <c r="A112" s="62">
        <v>49</v>
      </c>
      <c r="B112" s="77"/>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1"/>
    </row>
    <row r="113" ht="21.9" customHeight="1" spans="1:43" x14ac:dyDescent="0.25">
      <c r="A113" s="79">
        <v>50</v>
      </c>
      <c r="B113" s="84"/>
      <c r="C113" s="78"/>
      <c r="D113" s="78"/>
      <c r="E113" s="78"/>
      <c r="F113" s="78"/>
      <c r="G113" s="79"/>
      <c r="H113" s="80"/>
      <c r="I113" s="80"/>
      <c r="J113" s="80"/>
      <c r="K113" s="81"/>
      <c r="L113" s="82"/>
      <c r="M113" s="80"/>
      <c r="N113" s="80"/>
      <c r="O113" s="80"/>
      <c r="P113" s="83"/>
      <c r="Q113" s="79"/>
      <c r="R113" s="80"/>
      <c r="S113" s="80"/>
      <c r="T113" s="80"/>
      <c r="U113" s="81"/>
      <c r="V113" s="82"/>
      <c r="W113" s="80"/>
      <c r="X113" s="80"/>
      <c r="Y113" s="80"/>
      <c r="Z113" s="83"/>
      <c r="AA113" s="79"/>
      <c r="AB113" s="80"/>
      <c r="AC113" s="80"/>
      <c r="AD113" s="83"/>
      <c r="AE113" s="81"/>
      <c r="AF113" s="98">
        <f t="shared" si="4"/>
      </c>
      <c r="AG113" s="99">
        <f t="shared" si="5"/>
      </c>
      <c r="AH113" s="100"/>
      <c r="AI113" s="85"/>
      <c r="AJ113" s="85"/>
      <c r="AK113" s="85"/>
      <c r="AL113" s="85"/>
      <c r="AM113" s="86"/>
      <c r="AQ113" s="1"/>
    </row>
    <row r="114" ht="21.9" customHeight="1" spans="1:43" x14ac:dyDescent="0.25">
      <c r="A114" s="101" t="s">
        <v>42</v>
      </c>
      <c r="B114" s="88"/>
      <c r="C114" s="88"/>
      <c r="D114" s="88"/>
      <c r="E114" s="88"/>
      <c r="F114" s="88"/>
      <c r="G114" s="102">
        <f t="shared" ref="G114:AE114" si="6">IF(G10="","",COUNTA($B$64:$B$113)-(COUNTIF(G64:G113,"x")+COUNTIF(G64:G113,"h")*0.5))</f>
        <v>0</v>
      </c>
      <c r="H114" s="90">
        <f t="shared" si="6"/>
        <v>0</v>
      </c>
      <c r="I114" s="90">
        <f t="shared" si="6"/>
        <v>0</v>
      </c>
      <c r="J114" s="90">
        <f t="shared" si="6"/>
        <v>0</v>
      </c>
      <c r="K114" s="91">
        <f t="shared" si="6"/>
        <v>0</v>
      </c>
      <c r="L114" s="102">
        <f t="shared" si="6"/>
        <v>0</v>
      </c>
      <c r="M114" s="90">
        <f t="shared" si="6"/>
        <v>0</v>
      </c>
      <c r="N114" s="90">
        <f t="shared" si="6"/>
        <v>0</v>
      </c>
      <c r="O114" s="90">
        <f t="shared" si="6"/>
        <v>0</v>
      </c>
      <c r="P114" s="91">
        <f t="shared" si="6"/>
        <v>0</v>
      </c>
      <c r="Q114" s="102">
        <f t="shared" si="6"/>
        <v>0</v>
      </c>
      <c r="R114" s="90">
        <f t="shared" si="6"/>
        <v>0</v>
      </c>
      <c r="S114" s="90">
        <f t="shared" si="6"/>
        <v>0</v>
      </c>
      <c r="T114" s="90">
        <f t="shared" si="6"/>
        <v>0</v>
      </c>
      <c r="U114" s="91">
        <f t="shared" si="6"/>
        <v>0</v>
      </c>
      <c r="V114" s="102">
        <f t="shared" si="6"/>
        <v>0</v>
      </c>
      <c r="W114" s="90">
        <f t="shared" si="6"/>
        <v>0</v>
      </c>
      <c r="X114" s="90">
        <f t="shared" si="6"/>
        <v>0</v>
      </c>
      <c r="Y114" s="90">
        <f t="shared" si="6"/>
        <v>0</v>
      </c>
      <c r="Z114" s="91">
        <f t="shared" si="6"/>
        <v>0</v>
      </c>
      <c r="AA114" s="102">
        <f t="shared" si="6"/>
      </c>
      <c r="AB114" s="90">
        <f t="shared" si="6"/>
      </c>
      <c r="AC114" s="90">
        <f t="shared" si="6"/>
      </c>
      <c r="AD114" s="90">
        <f t="shared" si="6"/>
      </c>
      <c r="AE114" s="91">
        <f t="shared" si="6"/>
      </c>
      <c r="AF114" s="92">
        <f>SUM(AF64:AF113)</f>
        <v>0</v>
      </c>
      <c r="AG114" s="93">
        <f>SUM(AG64:AG113)</f>
        <v>0</v>
      </c>
      <c r="AH114" s="103"/>
      <c r="AI114" s="104"/>
      <c r="AJ114" s="104"/>
      <c r="AK114" s="104"/>
      <c r="AL114" s="104"/>
      <c r="AM114" s="105"/>
      <c r="AQ114" s="1"/>
    </row>
    <row r="115" ht="21.9" customHeight="1" spans="1:43" x14ac:dyDescent="0.25">
      <c r="A115" s="106" t="s">
        <v>43</v>
      </c>
      <c r="B115" s="106"/>
      <c r="C115" s="107"/>
      <c r="D115" s="107"/>
      <c r="E115" s="107"/>
      <c r="F115" s="107"/>
      <c r="G115" s="108">
        <f t="shared" ref="G115:AE115" si="7">IF(G10="","",G63+G114)</f>
        <v>0</v>
      </c>
      <c r="H115" s="109">
        <f t="shared" si="7"/>
        <v>0</v>
      </c>
      <c r="I115" s="109">
        <f t="shared" si="7"/>
        <v>0</v>
      </c>
      <c r="J115" s="109">
        <f t="shared" si="7"/>
        <v>0</v>
      </c>
      <c r="K115" s="110">
        <f t="shared" si="7"/>
        <v>0</v>
      </c>
      <c r="L115" s="108">
        <f t="shared" si="7"/>
        <v>0</v>
      </c>
      <c r="M115" s="109">
        <f t="shared" si="7"/>
        <v>0</v>
      </c>
      <c r="N115" s="109">
        <f t="shared" si="7"/>
        <v>0</v>
      </c>
      <c r="O115" s="109">
        <f t="shared" si="7"/>
        <v>0</v>
      </c>
      <c r="P115" s="110">
        <f t="shared" si="7"/>
        <v>0</v>
      </c>
      <c r="Q115" s="108">
        <f t="shared" si="7"/>
        <v>0</v>
      </c>
      <c r="R115" s="109">
        <f t="shared" si="7"/>
        <v>0</v>
      </c>
      <c r="S115" s="109">
        <f t="shared" si="7"/>
        <v>0</v>
      </c>
      <c r="T115" s="109">
        <f t="shared" si="7"/>
        <v>0</v>
      </c>
      <c r="U115" s="110">
        <f t="shared" si="7"/>
        <v>0</v>
      </c>
      <c r="V115" s="108">
        <f t="shared" si="7"/>
        <v>0</v>
      </c>
      <c r="W115" s="109">
        <f t="shared" si="7"/>
        <v>0</v>
      </c>
      <c r="X115" s="109">
        <f t="shared" si="7"/>
        <v>0</v>
      </c>
      <c r="Y115" s="109">
        <f t="shared" si="7"/>
        <v>0</v>
      </c>
      <c r="Z115" s="110">
        <f t="shared" si="7"/>
        <v>0</v>
      </c>
      <c r="AA115" s="108">
        <f t="shared" si="7"/>
      </c>
      <c r="AB115" s="109">
        <f t="shared" si="7"/>
      </c>
      <c r="AC115" s="109">
        <f t="shared" si="7"/>
      </c>
      <c r="AD115" s="109">
        <f t="shared" si="7"/>
      </c>
      <c r="AE115" s="110">
        <f t="shared" si="7"/>
      </c>
      <c r="AF115" s="111">
        <f>AF63+AF114</f>
        <v>0</v>
      </c>
      <c r="AG115" s="112">
        <f>AG63+AG114</f>
        <v>0</v>
      </c>
      <c r="AH115" s="113"/>
      <c r="AI115" s="114"/>
      <c r="AJ115" s="114"/>
      <c r="AK115" s="114"/>
      <c r="AL115" s="114"/>
      <c r="AM115" s="115"/>
      <c r="AQ115" s="1"/>
    </row>
    <row r="116" ht="6.75" customHeight="1" spans="1:43" x14ac:dyDescent="0.25">
      <c r="A116" s="116"/>
      <c r="B116" s="116"/>
      <c r="C116" s="116"/>
      <c r="D116" s="116"/>
      <c r="E116" s="116"/>
      <c r="F116" s="116"/>
      <c r="G116" s="117"/>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18" t="s">
        <v>44</v>
      </c>
      <c r="B117" s="119"/>
      <c r="C117" s="119"/>
      <c r="D117" s="119"/>
      <c r="E117" s="119"/>
      <c r="F117" s="119"/>
      <c r="G117" s="120"/>
      <c r="H117" s="120"/>
      <c r="I117" s="120"/>
      <c r="J117" s="120"/>
      <c r="K117" s="120"/>
      <c r="L117" s="120"/>
      <c r="M117" s="120"/>
      <c r="N117" s="120"/>
      <c r="O117" s="120"/>
      <c r="P117" s="120"/>
      <c r="Q117" s="120"/>
      <c r="R117" s="120"/>
      <c r="S117" s="121"/>
      <c r="T117" s="122" t="s">
        <v>45</v>
      </c>
      <c r="U117" s="123"/>
      <c r="V117" s="123"/>
      <c r="W117" s="123"/>
      <c r="X117" s="123"/>
      <c r="Y117" s="124"/>
      <c r="Z117" s="124"/>
      <c r="AA117" s="124"/>
      <c r="AB117" s="125"/>
      <c r="AC117" s="126"/>
      <c r="AE117" s="127" t="s">
        <v>46</v>
      </c>
      <c r="AF117" s="128"/>
      <c r="AG117" s="129">
        <f>AA6</f>
        <v>NaN</v>
      </c>
      <c r="AH117" s="130" t="s">
        <v>47</v>
      </c>
      <c r="AI117" s="131"/>
      <c r="AJ117" s="132">
        <f>AQ9</f>
        <v>20</v>
      </c>
      <c r="AK117" s="133" t="s">
        <v>48</v>
      </c>
      <c r="AL117" s="133"/>
      <c r="AM117" s="134"/>
      <c r="AQ117" s="1"/>
    </row>
    <row r="118" ht="15" customHeight="1" spans="1:43" x14ac:dyDescent="0.25">
      <c r="A118" s="135" t="s">
        <v>49</v>
      </c>
      <c r="B118" s="135"/>
      <c r="C118" s="135"/>
      <c r="D118" s="135"/>
      <c r="E118" s="135"/>
      <c r="F118" s="135"/>
      <c r="G118" s="1"/>
      <c r="H118" s="1"/>
      <c r="I118" s="1"/>
      <c r="J118" s="1"/>
      <c r="K118" s="1"/>
      <c r="L118" s="1"/>
      <c r="M118" s="1"/>
      <c r="N118" s="1"/>
      <c r="O118" s="1"/>
      <c r="P118" s="1"/>
      <c r="Q118" s="1"/>
      <c r="R118" s="120"/>
      <c r="S118" s="121"/>
      <c r="T118" s="136" t="s">
        <v>50</v>
      </c>
      <c r="U118" s="1"/>
      <c r="V118" s="1"/>
      <c r="W118" s="1"/>
      <c r="X118" s="1"/>
      <c r="Y118" s="1"/>
      <c r="Z118" s="1"/>
      <c r="AA118" s="137"/>
      <c r="AB118" s="137"/>
      <c r="AC118" s="138"/>
      <c r="AE118" s="139"/>
      <c r="AF118" s="140"/>
      <c r="AG118" s="141"/>
      <c r="AH118" s="142"/>
      <c r="AI118" s="143"/>
      <c r="AJ118" s="144"/>
      <c r="AK118" s="145" t="s">
        <v>16</v>
      </c>
      <c r="AL118" s="146" t="s">
        <v>20</v>
      </c>
      <c r="AM118" s="147" t="s">
        <v>51</v>
      </c>
      <c r="AQ118" s="1"/>
    </row>
    <row r="119" ht="15.5" customHeight="1" spans="1:43" x14ac:dyDescent="0.25">
      <c r="A119" s="135" t="s">
        <v>52</v>
      </c>
      <c r="B119" s="135"/>
      <c r="C119" s="135"/>
      <c r="D119" s="135"/>
      <c r="E119" s="135"/>
      <c r="F119" s="135"/>
      <c r="G119" s="1"/>
      <c r="H119" s="1"/>
      <c r="I119" s="1"/>
      <c r="J119" s="1"/>
      <c r="K119" s="1"/>
      <c r="L119" s="1"/>
      <c r="M119" s="1"/>
      <c r="N119" s="1"/>
      <c r="O119" s="1"/>
      <c r="P119" s="1"/>
      <c r="Q119" s="1"/>
      <c r="R119" s="120"/>
      <c r="S119" s="121"/>
      <c r="T119" s="1"/>
      <c r="U119" s="1"/>
      <c r="V119" s="1"/>
      <c r="W119" s="1"/>
      <c r="X119" s="1"/>
      <c r="Y119" s="1"/>
      <c r="Z119" s="1"/>
      <c r="AA119" s="148"/>
      <c r="AB119" s="148"/>
      <c r="AC119" s="138"/>
      <c r="AE119" s="149" t="s">
        <v>53</v>
      </c>
      <c r="AF119" s="150"/>
      <c r="AG119" s="150"/>
      <c r="AH119" s="150"/>
      <c r="AI119" s="150"/>
      <c r="AJ119" s="151"/>
      <c r="AK119" s="152"/>
      <c r="AL119" s="152"/>
      <c r="AM119" s="153">
        <f>AK119+AL119</f>
        <v>0</v>
      </c>
      <c r="AQ119" s="1"/>
    </row>
    <row r="120" ht="15.75" customHeight="1" spans="1:43" x14ac:dyDescent="0.25">
      <c r="A120" s="135" t="s">
        <v>54</v>
      </c>
      <c r="B120" s="135"/>
      <c r="C120" s="135"/>
      <c r="D120" s="135"/>
      <c r="E120" s="135"/>
      <c r="F120" s="135"/>
      <c r="G120" s="1"/>
      <c r="H120" s="1"/>
      <c r="I120" s="1"/>
      <c r="J120" s="1"/>
      <c r="K120" s="1"/>
      <c r="L120" s="1"/>
      <c r="M120" s="1"/>
      <c r="N120" s="1"/>
      <c r="O120" s="1"/>
      <c r="P120" s="1"/>
      <c r="Q120" s="1"/>
      <c r="R120" s="120"/>
      <c r="S120" s="121"/>
      <c r="T120" s="1"/>
      <c r="U120" s="1"/>
      <c r="V120" s="1"/>
      <c r="W120" s="1"/>
      <c r="X120" s="1"/>
      <c r="Y120" s="1"/>
      <c r="Z120" s="1"/>
      <c r="AA120" s="148"/>
      <c r="AB120" s="148"/>
      <c r="AC120" s="138"/>
      <c r="AE120" s="154"/>
      <c r="AF120" s="155"/>
      <c r="AG120" s="155"/>
      <c r="AH120" s="155"/>
      <c r="AI120" s="155"/>
      <c r="AJ120" s="156"/>
      <c r="AK120" s="31"/>
      <c r="AL120" s="31"/>
      <c r="AM120" s="157"/>
      <c r="AQ120" s="1"/>
    </row>
    <row r="121" ht="15.75" customHeight="1" spans="1:43" x14ac:dyDescent="0.25">
      <c r="A121" s="158" t="s">
        <v>55</v>
      </c>
      <c r="B121" s="159" t="s">
        <v>56</v>
      </c>
      <c r="C121" s="159"/>
      <c r="D121" s="159"/>
      <c r="E121" s="159"/>
      <c r="F121" s="159"/>
      <c r="G121" s="160" t="s">
        <v>57</v>
      </c>
      <c r="H121" s="1"/>
      <c r="I121" s="1"/>
      <c r="J121" s="1"/>
      <c r="K121" s="1"/>
      <c r="L121" s="1"/>
      <c r="M121" s="1"/>
      <c r="N121" s="1"/>
      <c r="O121" s="1"/>
      <c r="P121" s="1"/>
      <c r="Q121" s="161" t="s">
        <v>58</v>
      </c>
      <c r="R121" s="1"/>
      <c r="S121" s="121"/>
      <c r="T121" s="162" t="s">
        <v>59</v>
      </c>
      <c r="U121" s="1"/>
      <c r="V121" s="1"/>
      <c r="W121" s="1"/>
      <c r="X121" s="1"/>
      <c r="Y121" s="3"/>
      <c r="Z121" s="1"/>
      <c r="AB121" s="163"/>
      <c r="AC121" s="138"/>
      <c r="AE121" s="164" t="s">
        <v>60</v>
      </c>
      <c r="AF121" s="165"/>
      <c r="AG121" s="165"/>
      <c r="AH121" s="165"/>
      <c r="AI121" s="165"/>
      <c r="AJ121" s="165"/>
      <c r="AK121" s="166">
        <v>0</v>
      </c>
      <c r="AL121" s="166">
        <v>0</v>
      </c>
      <c r="AM121" s="167">
        <f>AK121+AL121</f>
        <v>0</v>
      </c>
      <c r="AQ121" s="1"/>
    </row>
    <row r="122" ht="15.75" customHeight="1" spans="1:43" x14ac:dyDescent="0.25">
      <c r="A122" s="158"/>
      <c r="B122" s="159"/>
      <c r="C122" s="159"/>
      <c r="D122" s="159"/>
      <c r="E122" s="159"/>
      <c r="F122" s="159"/>
      <c r="G122" s="168" t="s">
        <v>61</v>
      </c>
      <c r="H122" s="1"/>
      <c r="I122" s="1"/>
      <c r="J122" s="1"/>
      <c r="K122" s="1"/>
      <c r="L122" s="1"/>
      <c r="M122" s="1"/>
      <c r="N122" s="1"/>
      <c r="O122" s="1"/>
      <c r="P122" s="1"/>
      <c r="Q122" s="1"/>
      <c r="R122" s="1"/>
      <c r="S122" s="121"/>
      <c r="T122" s="162" t="s">
        <v>62</v>
      </c>
      <c r="U122" s="3"/>
      <c r="V122" s="3"/>
      <c r="W122" s="3"/>
      <c r="X122" s="3"/>
      <c r="Y122" s="3"/>
      <c r="Z122" s="1"/>
      <c r="AB122" s="163"/>
      <c r="AC122" s="138"/>
      <c r="AE122" s="164"/>
      <c r="AF122" s="165"/>
      <c r="AG122" s="165"/>
      <c r="AH122" s="165"/>
      <c r="AI122" s="165"/>
      <c r="AJ122" s="165"/>
      <c r="AK122" s="166"/>
      <c r="AL122" s="166"/>
      <c r="AM122" s="167"/>
      <c r="AQ122" s="1"/>
    </row>
    <row r="123" ht="18" customHeight="1" spans="1:43" x14ac:dyDescent="0.25">
      <c r="A123" s="158" t="s">
        <v>63</v>
      </c>
      <c r="B123" s="169" t="s">
        <v>64</v>
      </c>
      <c r="C123" s="169"/>
      <c r="D123" s="169"/>
      <c r="E123" s="169"/>
      <c r="F123" s="169"/>
      <c r="G123" s="170" t="s">
        <v>65</v>
      </c>
      <c r="H123" s="1"/>
      <c r="I123" s="1"/>
      <c r="J123" s="1"/>
      <c r="K123" s="1"/>
      <c r="L123" s="1"/>
      <c r="M123" s="1"/>
      <c r="N123" s="1"/>
      <c r="O123" s="1"/>
      <c r="P123" s="1"/>
      <c r="Q123" s="171"/>
      <c r="R123" s="120"/>
      <c r="S123" s="121"/>
      <c r="T123" s="172" t="s">
        <v>66</v>
      </c>
      <c r="U123" s="3"/>
      <c r="V123" s="3"/>
      <c r="W123" s="3"/>
      <c r="X123" s="3"/>
      <c r="Y123" s="3"/>
      <c r="Z123" s="1"/>
      <c r="AB123" s="163"/>
      <c r="AC123" s="138"/>
      <c r="AE123" s="164" t="s">
        <v>67</v>
      </c>
      <c r="AF123" s="165"/>
      <c r="AG123" s="165"/>
      <c r="AH123" s="165"/>
      <c r="AI123" s="165"/>
      <c r="AJ123" s="165"/>
      <c r="AK123" s="173">
        <f>COUNTA($B$13:$B$62)</f>
        <v>0</v>
      </c>
      <c r="AL123" s="173">
        <f>COUNTA($B$64:$B$113)</f>
        <v>0</v>
      </c>
      <c r="AM123" s="153">
        <f>AK123+AL123</f>
        <v>0</v>
      </c>
      <c r="AQ123" s="1"/>
    </row>
    <row r="124" ht="14.25" customHeight="1" spans="1:43" x14ac:dyDescent="0.25">
      <c r="A124" s="158"/>
      <c r="B124" s="169"/>
      <c r="C124" s="169"/>
      <c r="D124" s="169"/>
      <c r="E124" s="169"/>
      <c r="F124" s="169"/>
      <c r="G124" s="168" t="s">
        <v>68</v>
      </c>
      <c r="H124" s="1"/>
      <c r="I124" s="1"/>
      <c r="J124" s="1"/>
      <c r="K124" s="1"/>
      <c r="L124" s="1"/>
      <c r="M124" s="1"/>
      <c r="N124" s="1"/>
      <c r="O124" s="1"/>
      <c r="P124" s="1"/>
      <c r="Q124" s="120"/>
      <c r="R124" s="120"/>
      <c r="S124" s="121"/>
      <c r="T124" s="172" t="s">
        <v>69</v>
      </c>
      <c r="U124" s="1"/>
      <c r="V124" s="1"/>
      <c r="W124" s="1"/>
      <c r="X124" s="1"/>
      <c r="Y124" s="3"/>
      <c r="Z124" s="1"/>
      <c r="AB124" s="163"/>
      <c r="AC124" s="138"/>
      <c r="AE124" s="164"/>
      <c r="AF124" s="165"/>
      <c r="AG124" s="165"/>
      <c r="AH124" s="165"/>
      <c r="AI124" s="165"/>
      <c r="AJ124" s="165"/>
      <c r="AK124" s="174"/>
      <c r="AL124" s="174"/>
      <c r="AM124" s="157"/>
      <c r="AQ124" s="1"/>
    </row>
    <row r="125" ht="15.75" customHeight="1" spans="1:43" x14ac:dyDescent="0.25">
      <c r="A125" s="175" t="s">
        <v>70</v>
      </c>
      <c r="B125" s="159" t="s">
        <v>71</v>
      </c>
      <c r="C125" s="159"/>
      <c r="D125" s="159"/>
      <c r="E125" s="159"/>
      <c r="F125" s="159"/>
      <c r="G125" s="160" t="s">
        <v>72</v>
      </c>
      <c r="H125" s="1"/>
      <c r="I125" s="1"/>
      <c r="J125" s="1"/>
      <c r="K125" s="1"/>
      <c r="L125" s="1"/>
      <c r="M125" s="1"/>
      <c r="N125" s="1"/>
      <c r="O125" s="1"/>
      <c r="P125" s="1"/>
      <c r="Q125" s="161" t="s">
        <v>58</v>
      </c>
      <c r="R125" s="1"/>
      <c r="S125" s="121"/>
      <c r="T125" s="172" t="s">
        <v>73</v>
      </c>
      <c r="U125" s="1"/>
      <c r="V125" s="1"/>
      <c r="W125" s="1"/>
      <c r="X125" s="1"/>
      <c r="Y125" s="1"/>
      <c r="Z125" s="1"/>
      <c r="AB125" s="163"/>
      <c r="AC125" s="138"/>
      <c r="AE125" s="176" t="s">
        <v>74</v>
      </c>
      <c r="AF125" s="177"/>
      <c r="AG125" s="177"/>
      <c r="AH125" s="177"/>
      <c r="AI125" s="177"/>
      <c r="AJ125" s="177"/>
      <c r="AK125" s="178" t="e">
        <f>AK123/AK119</f>
        <v>#DIV/0!</v>
      </c>
      <c r="AL125" s="178" t="e">
        <f>AL123/AL119</f>
        <v>#DIV/0!</v>
      </c>
      <c r="AM125" s="179" t="e">
        <f>AM123/AM119</f>
        <v>#DIV/0!</v>
      </c>
      <c r="AQ125" s="1"/>
    </row>
    <row r="126" ht="19.5" customHeight="1" spans="1:43" x14ac:dyDescent="0.25">
      <c r="A126" s="175"/>
      <c r="B126" s="159"/>
      <c r="C126" s="159"/>
      <c r="D126" s="159"/>
      <c r="E126" s="159"/>
      <c r="F126" s="159"/>
      <c r="G126" s="161" t="s">
        <v>75</v>
      </c>
      <c r="H126" s="1"/>
      <c r="I126" s="1"/>
      <c r="J126" s="1"/>
      <c r="K126" s="1"/>
      <c r="L126" s="1"/>
      <c r="M126" s="1"/>
      <c r="N126" s="1"/>
      <c r="O126" s="1"/>
      <c r="P126" s="1"/>
      <c r="Q126" s="1"/>
      <c r="R126" s="1"/>
      <c r="S126" s="121"/>
      <c r="T126" s="172" t="s">
        <v>76</v>
      </c>
      <c r="U126" s="1"/>
      <c r="V126" s="1"/>
      <c r="W126" s="1"/>
      <c r="X126" s="1"/>
      <c r="Y126" s="1"/>
      <c r="Z126" s="1"/>
      <c r="AB126" s="163"/>
      <c r="AC126" s="138"/>
      <c r="AE126" s="176"/>
      <c r="AF126" s="177"/>
      <c r="AG126" s="177"/>
      <c r="AH126" s="177"/>
      <c r="AI126" s="177"/>
      <c r="AJ126" s="177"/>
      <c r="AK126" s="180"/>
      <c r="AL126" s="180"/>
      <c r="AM126" s="181"/>
      <c r="AQ126" s="1"/>
    </row>
    <row r="127" ht="26.25" customHeight="1" spans="1:43" x14ac:dyDescent="0.25">
      <c r="A127" s="135"/>
      <c r="B127" s="135"/>
      <c r="C127" s="135"/>
      <c r="D127" s="135"/>
      <c r="E127" s="135"/>
      <c r="F127" s="135"/>
      <c r="G127" s="1"/>
      <c r="H127" s="1"/>
      <c r="I127" s="1"/>
      <c r="J127" s="1"/>
      <c r="K127" s="1"/>
      <c r="L127" s="1"/>
      <c r="M127" s="1"/>
      <c r="N127" s="1"/>
      <c r="O127" s="1"/>
      <c r="P127" s="161"/>
      <c r="Q127" s="161"/>
      <c r="R127" s="120"/>
      <c r="S127" s="121"/>
      <c r="T127" s="162" t="s">
        <v>77</v>
      </c>
      <c r="U127" s="1"/>
      <c r="V127" s="1"/>
      <c r="W127" s="1"/>
      <c r="X127" s="1"/>
      <c r="Y127" s="1"/>
      <c r="Z127" s="1"/>
      <c r="AB127" s="3"/>
      <c r="AC127" s="138"/>
      <c r="AE127" s="182" t="s">
        <v>78</v>
      </c>
      <c r="AF127" s="183"/>
      <c r="AG127" s="183"/>
      <c r="AH127" s="183"/>
      <c r="AI127" s="183"/>
      <c r="AJ127" s="183"/>
      <c r="AK127" s="184">
        <f>AG63/AJ117</f>
        <v>0</v>
      </c>
      <c r="AL127" s="184">
        <f>AG114/AJ117</f>
        <v>0</v>
      </c>
      <c r="AM127" s="185">
        <f>AG115/AJ117</f>
        <v>0</v>
      </c>
      <c r="AQ127" s="1"/>
    </row>
    <row r="128" ht="16.5" customHeight="1" spans="1:43" x14ac:dyDescent="0.25">
      <c r="A128" s="186" t="s">
        <v>79</v>
      </c>
      <c r="B128" s="186"/>
      <c r="C128" s="186"/>
      <c r="D128" s="186"/>
      <c r="E128" s="186"/>
      <c r="F128" s="186"/>
      <c r="G128" s="1"/>
      <c r="H128" s="1"/>
      <c r="I128" s="1"/>
      <c r="J128" s="1"/>
      <c r="K128" s="1"/>
      <c r="L128" s="1"/>
      <c r="M128" s="1"/>
      <c r="N128" s="1"/>
      <c r="O128" s="1"/>
      <c r="P128" s="1"/>
      <c r="Q128" s="1"/>
      <c r="R128" s="171"/>
      <c r="S128" s="121"/>
      <c r="T128" s="172" t="s">
        <v>80</v>
      </c>
      <c r="U128" s="1"/>
      <c r="V128" s="1"/>
      <c r="W128" s="1"/>
      <c r="X128" s="1"/>
      <c r="Y128" s="1"/>
      <c r="Z128" s="1"/>
      <c r="AB128" s="163"/>
      <c r="AC128" s="138"/>
      <c r="AE128" s="164" t="s">
        <v>81</v>
      </c>
      <c r="AF128" s="165"/>
      <c r="AG128" s="165"/>
      <c r="AH128" s="165"/>
      <c r="AI128" s="165"/>
      <c r="AJ128" s="165"/>
      <c r="AK128" s="187" t="e">
        <f>AK127/AK123</f>
        <v>#DIV/0!</v>
      </c>
      <c r="AL128" s="187" t="e">
        <f>AL127/AL123</f>
        <v>#DIV/0!</v>
      </c>
      <c r="AM128" s="188" t="e">
        <f>AM127/AM123</f>
        <v>#DIV/0!</v>
      </c>
      <c r="AQ128" s="1"/>
    </row>
    <row r="129" ht="15.75" customHeight="1" spans="1:43" x14ac:dyDescent="0.25">
      <c r="A129" s="186"/>
      <c r="B129" s="186"/>
      <c r="C129" s="186"/>
      <c r="D129" s="186"/>
      <c r="E129" s="186"/>
      <c r="F129" s="186"/>
      <c r="G129" s="1"/>
      <c r="H129" s="1"/>
      <c r="I129" s="1"/>
      <c r="J129" s="1"/>
      <c r="K129" s="1"/>
      <c r="L129" s="1"/>
      <c r="M129" s="1"/>
      <c r="N129" s="1"/>
      <c r="O129" s="1"/>
      <c r="P129" s="1"/>
      <c r="Q129" s="1"/>
      <c r="R129" s="171"/>
      <c r="S129" s="121"/>
      <c r="T129" s="172" t="s">
        <v>82</v>
      </c>
      <c r="U129" s="1"/>
      <c r="V129" s="1"/>
      <c r="W129" s="1"/>
      <c r="X129" s="1"/>
      <c r="Y129" s="1"/>
      <c r="Z129" s="1"/>
      <c r="AB129" s="163"/>
      <c r="AC129" s="138"/>
      <c r="AE129" s="164"/>
      <c r="AF129" s="165"/>
      <c r="AG129" s="165"/>
      <c r="AH129" s="165"/>
      <c r="AI129" s="165"/>
      <c r="AJ129" s="165"/>
      <c r="AK129" s="174"/>
      <c r="AL129" s="187"/>
      <c r="AM129" s="188"/>
      <c r="AQ129" s="1"/>
    </row>
    <row r="130" ht="15.75" customHeight="1" spans="1:43" x14ac:dyDescent="0.25">
      <c r="A130" s="189" t="s">
        <v>83</v>
      </c>
      <c r="B130" s="189"/>
      <c r="C130" s="189"/>
      <c r="D130" s="189"/>
      <c r="E130" s="189"/>
      <c r="F130" s="189"/>
      <c r="G130" s="1"/>
      <c r="H130" s="1"/>
      <c r="I130" s="1"/>
      <c r="J130" s="1"/>
      <c r="K130" s="1"/>
      <c r="L130" s="1"/>
      <c r="M130" s="1"/>
      <c r="N130" s="1"/>
      <c r="O130" s="1"/>
      <c r="P130" s="1"/>
      <c r="Q130" s="1"/>
      <c r="R130" s="1"/>
      <c r="S130" s="121"/>
      <c r="T130" s="172" t="s">
        <v>84</v>
      </c>
      <c r="U130" s="1"/>
      <c r="V130" s="1"/>
      <c r="W130" s="1"/>
      <c r="X130" s="1"/>
      <c r="Y130" s="1"/>
      <c r="Z130" s="1"/>
      <c r="AB130" s="163"/>
      <c r="AC130" s="138"/>
      <c r="AD130" s="190"/>
      <c r="AE130" s="164" t="s">
        <v>85</v>
      </c>
      <c r="AF130" s="165"/>
      <c r="AG130" s="165"/>
      <c r="AH130" s="165"/>
      <c r="AI130" s="165"/>
      <c r="AJ130" s="165"/>
      <c r="AK130" s="191">
        <v>0</v>
      </c>
      <c r="AL130" s="191">
        <v>0</v>
      </c>
      <c r="AM130" s="192">
        <f>AK130+AL130</f>
        <v>0</v>
      </c>
      <c r="AQ130" s="1"/>
    </row>
    <row r="131" ht="16.5" customHeight="1" spans="1:43" x14ac:dyDescent="0.25">
      <c r="A131" s="189"/>
      <c r="B131" s="189"/>
      <c r="C131" s="189"/>
      <c r="D131" s="189"/>
      <c r="E131" s="189"/>
      <c r="F131" s="189"/>
      <c r="G131" s="1"/>
      <c r="H131" s="1"/>
      <c r="I131" s="1"/>
      <c r="J131" s="1"/>
      <c r="K131" s="1"/>
      <c r="L131" s="1"/>
      <c r="M131" s="1"/>
      <c r="N131" s="1"/>
      <c r="O131" s="1"/>
      <c r="P131" s="1"/>
      <c r="Q131" s="1"/>
      <c r="R131" s="1"/>
      <c r="S131" s="121"/>
      <c r="T131" s="172" t="s">
        <v>86</v>
      </c>
      <c r="U131" s="1"/>
      <c r="V131" s="1"/>
      <c r="W131" s="1"/>
      <c r="X131" s="1"/>
      <c r="Y131" s="1"/>
      <c r="Z131" s="1"/>
      <c r="AB131" s="3"/>
      <c r="AC131" s="138"/>
      <c r="AE131" s="164"/>
      <c r="AF131" s="165"/>
      <c r="AG131" s="165"/>
      <c r="AH131" s="165"/>
      <c r="AI131" s="165"/>
      <c r="AJ131" s="165"/>
      <c r="AK131" s="152"/>
      <c r="AL131" s="152"/>
      <c r="AM131" s="153"/>
      <c r="AQ131" s="1"/>
    </row>
    <row r="132" ht="14.25" customHeight="1" spans="1:43" x14ac:dyDescent="0.25">
      <c r="A132" s="120" t="s">
        <v>87</v>
      </c>
      <c r="B132" s="186"/>
      <c r="C132" s="186"/>
      <c r="D132" s="186"/>
      <c r="E132" s="186"/>
      <c r="F132" s="186"/>
      <c r="G132" s="193"/>
      <c r="H132" s="193"/>
      <c r="I132" s="193"/>
      <c r="J132" s="193"/>
      <c r="K132" s="193"/>
      <c r="L132" s="193"/>
      <c r="M132" s="193"/>
      <c r="N132" s="193"/>
      <c r="O132" s="193"/>
      <c r="P132" s="193"/>
      <c r="Q132" s="193"/>
      <c r="R132" s="171"/>
      <c r="S132" s="121"/>
      <c r="T132" s="172" t="s">
        <v>88</v>
      </c>
      <c r="U132" s="1"/>
      <c r="V132" s="1"/>
      <c r="W132" s="1"/>
      <c r="X132" s="1"/>
      <c r="Y132" s="1"/>
      <c r="Z132" s="1"/>
      <c r="AB132" s="163"/>
      <c r="AC132" s="138"/>
      <c r="AE132" s="194" t="s">
        <v>89</v>
      </c>
      <c r="AF132" s="195"/>
      <c r="AG132" s="195"/>
      <c r="AH132" s="195"/>
      <c r="AI132" s="195"/>
      <c r="AJ132" s="195"/>
      <c r="AK132" s="196">
        <f>COUNTIF(AH13:AI62,"NLS")</f>
        <v>0</v>
      </c>
      <c r="AL132" s="196">
        <f>COUNTIF(AH64:AI113,"NLS")</f>
        <v>0</v>
      </c>
      <c r="AM132" s="167">
        <f>AK132+AL132</f>
        <v>0</v>
      </c>
      <c r="AQ132" s="1"/>
    </row>
    <row r="133" ht="15.75" customHeight="1" spans="1:43" x14ac:dyDescent="0.25">
      <c r="A133" s="158" t="s">
        <v>90</v>
      </c>
      <c r="B133" s="189" t="s">
        <v>91</v>
      </c>
      <c r="C133" s="189"/>
      <c r="D133" s="189"/>
      <c r="E133" s="189"/>
      <c r="F133" s="189"/>
      <c r="G133" s="1"/>
      <c r="H133" s="1"/>
      <c r="I133" s="1"/>
      <c r="J133" s="1"/>
      <c r="K133" s="1"/>
      <c r="L133" s="1"/>
      <c r="M133" s="1"/>
      <c r="N133" s="1"/>
      <c r="O133" s="1"/>
      <c r="P133" s="1"/>
      <c r="Q133" s="1"/>
      <c r="R133" s="120"/>
      <c r="S133" s="121"/>
      <c r="T133" s="172" t="s">
        <v>92</v>
      </c>
      <c r="U133" s="1"/>
      <c r="V133" s="1"/>
      <c r="W133" s="1"/>
      <c r="X133" s="1"/>
      <c r="Y133" s="1"/>
      <c r="Z133" s="1"/>
      <c r="AB133" s="3"/>
      <c r="AC133" s="138"/>
      <c r="AE133" s="194"/>
      <c r="AF133" s="195"/>
      <c r="AG133" s="195"/>
      <c r="AH133" s="195"/>
      <c r="AI133" s="195"/>
      <c r="AJ133" s="195"/>
      <c r="AK133" s="196"/>
      <c r="AL133" s="196"/>
      <c r="AM133" s="167"/>
      <c r="AQ133" s="1"/>
    </row>
    <row r="134" ht="15.75" customHeight="1" spans="7:43" x14ac:dyDescent="0.25">
      <c r="G134" s="119"/>
      <c r="H134" s="119"/>
      <c r="I134" s="119"/>
      <c r="J134" s="119"/>
      <c r="K134" s="197"/>
      <c r="L134" s="197"/>
      <c r="M134" s="197"/>
      <c r="N134" s="197"/>
      <c r="O134" s="1"/>
      <c r="P134" s="1"/>
      <c r="Q134" s="1"/>
      <c r="R134" s="1"/>
      <c r="S134" s="121"/>
      <c r="T134" s="172" t="s">
        <v>93</v>
      </c>
      <c r="U134" s="1"/>
      <c r="V134" s="1"/>
      <c r="W134" s="1"/>
      <c r="X134" s="1"/>
      <c r="Y134" s="1"/>
      <c r="Z134" s="1"/>
      <c r="AC134" s="138"/>
      <c r="AE134" s="194" t="s">
        <v>94</v>
      </c>
      <c r="AF134" s="195"/>
      <c r="AG134" s="195"/>
      <c r="AH134" s="195"/>
      <c r="AI134" s="195"/>
      <c r="AJ134" s="195"/>
      <c r="AK134" s="174">
        <f>COUNTIF(AH13:AI62,"Transferred Out")</f>
        <v>0</v>
      </c>
      <c r="AL134" s="174">
        <f>COUNTIF(AH64:AI113,"Transferred Out")</f>
        <v>0</v>
      </c>
      <c r="AM134" s="157">
        <f>AK134+AL134</f>
        <v>0</v>
      </c>
      <c r="AQ134" s="1"/>
    </row>
    <row r="135" ht="14.25" customHeight="1" spans="2:43" x14ac:dyDescent="0.25">
      <c r="B135" s="119"/>
      <c r="C135" s="119"/>
      <c r="D135" s="119"/>
      <c r="E135" s="119"/>
      <c r="F135" s="119"/>
      <c r="G135" s="119"/>
      <c r="H135" s="119"/>
      <c r="I135" s="119"/>
      <c r="J135" s="119"/>
      <c r="K135" s="1"/>
      <c r="L135" s="1"/>
      <c r="M135" s="1"/>
      <c r="N135" s="1"/>
      <c r="O135" s="1"/>
      <c r="P135" s="1"/>
      <c r="Q135" s="1"/>
      <c r="R135" s="1"/>
      <c r="S135" s="121"/>
      <c r="T135" s="162" t="s">
        <v>95</v>
      </c>
      <c r="U135" s="1"/>
      <c r="V135" s="1"/>
      <c r="W135" s="1"/>
      <c r="X135" s="1"/>
      <c r="Y135" s="1"/>
      <c r="Z135" s="163"/>
      <c r="AA135" s="163"/>
      <c r="AB135" s="163"/>
      <c r="AC135" s="138"/>
      <c r="AE135" s="194"/>
      <c r="AF135" s="195"/>
      <c r="AG135" s="195"/>
      <c r="AH135" s="195"/>
      <c r="AI135" s="195"/>
      <c r="AJ135" s="195"/>
      <c r="AK135" s="174"/>
      <c r="AL135" s="174"/>
      <c r="AM135" s="157"/>
      <c r="AQ135" s="1"/>
    </row>
    <row r="136" ht="15" customHeight="1" spans="2:43" x14ac:dyDescent="0.25">
      <c r="B136" s="198"/>
      <c r="C136" s="198"/>
      <c r="D136" s="198"/>
      <c r="E136" s="198"/>
      <c r="F136" s="198"/>
      <c r="G136" s="1"/>
      <c r="H136" s="1"/>
      <c r="I136" s="1"/>
      <c r="J136" s="1"/>
      <c r="K136" s="1"/>
      <c r="L136" s="1"/>
      <c r="M136" s="1"/>
      <c r="N136" s="1"/>
      <c r="O136" s="1"/>
      <c r="P136" s="1"/>
      <c r="Q136" s="1"/>
      <c r="R136" s="1"/>
      <c r="S136" s="121"/>
      <c r="T136" s="172" t="s">
        <v>96</v>
      </c>
      <c r="U136" s="1"/>
      <c r="V136" s="1"/>
      <c r="W136" s="1"/>
      <c r="X136" s="1"/>
      <c r="Y136" s="1"/>
      <c r="Z136" s="1"/>
      <c r="AC136" s="138"/>
      <c r="AD136" s="148"/>
      <c r="AE136" s="194" t="s">
        <v>97</v>
      </c>
      <c r="AF136" s="195"/>
      <c r="AG136" s="195"/>
      <c r="AH136" s="195"/>
      <c r="AI136" s="195"/>
      <c r="AJ136" s="195"/>
      <c r="AK136" s="174">
        <f>COUNTIF(AH13:AI62,"Transferred In")</f>
        <v>0</v>
      </c>
      <c r="AL136" s="174">
        <f>COUNTIF(AH64:AI113,"Transferred In")</f>
        <v>0</v>
      </c>
      <c r="AM136" s="157">
        <f>AK136+AL136</f>
        <v>0</v>
      </c>
      <c r="AQ136" s="1"/>
    </row>
    <row r="137" ht="15.75" customHeight="1" spans="2:43" x14ac:dyDescent="0.25">
      <c r="B137" s="198"/>
      <c r="C137" s="198"/>
      <c r="D137" s="198"/>
      <c r="E137" s="198"/>
      <c r="F137" s="198"/>
      <c r="G137" s="1"/>
      <c r="H137" s="1"/>
      <c r="I137" s="1"/>
      <c r="J137" s="1"/>
      <c r="K137" s="1"/>
      <c r="L137" s="1"/>
      <c r="M137" s="1"/>
      <c r="N137" s="1"/>
      <c r="O137" s="1"/>
      <c r="P137" s="1"/>
      <c r="Q137" s="1"/>
      <c r="R137" s="1"/>
      <c r="S137" s="121"/>
      <c r="T137" s="172" t="s">
        <v>98</v>
      </c>
      <c r="U137" s="1"/>
      <c r="V137" s="1"/>
      <c r="W137" s="1"/>
      <c r="X137" s="1"/>
      <c r="Y137" s="1"/>
      <c r="Z137" s="1"/>
      <c r="AC137" s="138"/>
      <c r="AE137" s="199"/>
      <c r="AF137" s="146"/>
      <c r="AG137" s="146"/>
      <c r="AH137" s="146"/>
      <c r="AI137" s="146"/>
      <c r="AJ137" s="146"/>
      <c r="AK137" s="200"/>
      <c r="AL137" s="200"/>
      <c r="AM137" s="201"/>
      <c r="AQ137" s="1"/>
    </row>
    <row r="138" ht="14.25" customHeight="1" spans="2:43" x14ac:dyDescent="0.25">
      <c r="B138" s="3"/>
      <c r="C138" s="3"/>
      <c r="D138" s="3"/>
      <c r="E138" s="3"/>
      <c r="F138" s="3"/>
      <c r="G138" s="1"/>
      <c r="H138" s="1"/>
      <c r="I138" s="1"/>
      <c r="J138" s="1"/>
      <c r="K138" s="1"/>
      <c r="L138" s="1"/>
      <c r="M138" s="1"/>
      <c r="N138" s="1"/>
      <c r="O138" s="1"/>
      <c r="P138" s="1"/>
      <c r="Q138" s="1"/>
      <c r="R138" s="1"/>
      <c r="S138" s="121"/>
      <c r="T138" s="172" t="s">
        <v>99</v>
      </c>
      <c r="U138" s="1"/>
      <c r="V138" s="1"/>
      <c r="W138" s="1"/>
      <c r="X138" s="1"/>
      <c r="Y138" s="1"/>
      <c r="Z138" s="1"/>
      <c r="AC138" s="138"/>
      <c r="AQ138" s="1"/>
    </row>
    <row r="139" spans="2:43" x14ac:dyDescent="0.25">
      <c r="B139" s="3"/>
      <c r="C139" s="3"/>
      <c r="D139" s="3"/>
      <c r="E139" s="3"/>
      <c r="F139" s="3"/>
      <c r="G139" s="3"/>
      <c r="H139" s="3"/>
      <c r="I139" s="3"/>
      <c r="J139" s="3"/>
      <c r="K139" s="1"/>
      <c r="L139" s="1"/>
      <c r="M139" s="1"/>
      <c r="N139" s="1"/>
      <c r="O139" s="1"/>
      <c r="P139" s="1"/>
      <c r="Q139" s="1"/>
      <c r="R139" s="1"/>
      <c r="S139" s="121"/>
      <c r="T139" s="162" t="s">
        <v>100</v>
      </c>
      <c r="U139" s="1"/>
      <c r="V139" s="1"/>
      <c r="W139" s="1"/>
      <c r="X139" s="1"/>
      <c r="Y139" s="1"/>
      <c r="Z139" s="1"/>
      <c r="AC139" s="138"/>
      <c r="AE139" s="202" t="s">
        <v>101</v>
      </c>
      <c r="AM139" s="203"/>
      <c r="AQ139" s="1"/>
    </row>
    <row r="140" spans="2:43" x14ac:dyDescent="0.25">
      <c r="B140" s="204"/>
      <c r="C140" s="204"/>
      <c r="D140" s="204"/>
      <c r="E140" s="204"/>
      <c r="F140" s="204"/>
      <c r="G140" s="3"/>
      <c r="H140" s="3"/>
      <c r="I140" s="3"/>
      <c r="J140" s="3"/>
      <c r="K140" s="1"/>
      <c r="L140" s="1"/>
      <c r="M140" s="1"/>
      <c r="N140" s="1"/>
      <c r="O140" s="1"/>
      <c r="P140" s="1"/>
      <c r="Q140" s="1"/>
      <c r="R140" s="1"/>
      <c r="S140" s="121"/>
      <c r="T140" s="172" t="s">
        <v>102</v>
      </c>
      <c r="U140" s="1"/>
      <c r="V140" s="1"/>
      <c r="W140" s="1"/>
      <c r="X140" s="1"/>
      <c r="Y140" s="1"/>
      <c r="Z140" s="1"/>
      <c r="AC140" s="138"/>
      <c r="AE140" s="205"/>
      <c r="AF140" s="205"/>
      <c r="AG140" s="205"/>
      <c r="AH140" s="205"/>
      <c r="AI140" s="205"/>
      <c r="AJ140" s="205"/>
      <c r="AK140" s="205"/>
      <c r="AL140" s="205"/>
      <c r="AM140" s="205"/>
      <c r="AQ140" s="1"/>
    </row>
    <row r="141" ht="12" customHeight="1" spans="2:43" x14ac:dyDescent="0.25">
      <c r="B141" s="204"/>
      <c r="C141" s="204"/>
      <c r="D141" s="204"/>
      <c r="E141" s="204"/>
      <c r="F141" s="204"/>
      <c r="G141" s="1"/>
      <c r="H141" s="1"/>
      <c r="I141" s="1"/>
      <c r="J141" s="1"/>
      <c r="K141" s="1"/>
      <c r="L141" s="1"/>
      <c r="M141" s="1"/>
      <c r="N141" s="1"/>
      <c r="O141" s="1"/>
      <c r="P141" s="1"/>
      <c r="Q141" s="1"/>
      <c r="R141" s="1"/>
      <c r="S141" s="121"/>
      <c r="T141" s="206" t="s">
        <v>103</v>
      </c>
      <c r="U141" s="1"/>
      <c r="V141" s="1"/>
      <c r="W141" s="1"/>
      <c r="X141" s="1"/>
      <c r="Y141" s="1"/>
      <c r="Z141" s="1"/>
      <c r="AA141" s="148"/>
      <c r="AB141" s="148"/>
      <c r="AC141" s="207"/>
      <c r="AE141" s="97"/>
      <c r="AF141" s="97"/>
      <c r="AG141" s="97"/>
      <c r="AH141" s="97"/>
      <c r="AI141" s="97"/>
      <c r="AJ141" s="97"/>
      <c r="AK141" s="97"/>
      <c r="AL141" s="97"/>
      <c r="AM141" s="97"/>
      <c r="AQ141" s="1"/>
    </row>
    <row r="142" spans="2:43" x14ac:dyDescent="0.25">
      <c r="B142" s="204"/>
      <c r="C142" s="204"/>
      <c r="D142" s="204"/>
      <c r="E142" s="204"/>
      <c r="F142" s="204"/>
      <c r="G142" s="1"/>
      <c r="H142" s="1"/>
      <c r="I142" s="1"/>
      <c r="J142" s="1"/>
      <c r="K142" s="1"/>
      <c r="L142" s="1"/>
      <c r="M142" s="1"/>
      <c r="N142" s="1"/>
      <c r="O142" s="1"/>
      <c r="P142" s="1"/>
      <c r="Q142" s="1"/>
      <c r="R142" s="1"/>
      <c r="S142" s="121"/>
      <c r="T142" s="1"/>
      <c r="U142" s="1"/>
      <c r="V142" s="1"/>
      <c r="W142" s="1"/>
      <c r="X142" s="1"/>
      <c r="Y142" s="1"/>
      <c r="Z142" s="1"/>
      <c r="AA142" s="148"/>
      <c r="AB142" s="148"/>
      <c r="AC142" s="207"/>
      <c r="AE142" s="208" t="s">
        <v>104</v>
      </c>
      <c r="AF142" s="208"/>
      <c r="AG142" s="208"/>
      <c r="AH142" s="208"/>
      <c r="AI142" s="208"/>
      <c r="AJ142" s="208"/>
      <c r="AK142" s="208"/>
      <c r="AL142" s="208"/>
      <c r="AM142" s="208"/>
      <c r="AQ142" s="1"/>
    </row>
    <row r="143" spans="2:43" x14ac:dyDescent="0.25">
      <c r="B143" s="204"/>
      <c r="C143" s="204"/>
      <c r="D143" s="204"/>
      <c r="E143" s="204"/>
      <c r="F143" s="204"/>
      <c r="G143" s="1"/>
      <c r="H143" s="1"/>
      <c r="I143" s="1"/>
      <c r="J143" s="1"/>
      <c r="K143" s="1"/>
      <c r="L143" s="1"/>
      <c r="M143" s="1"/>
      <c r="N143" s="1"/>
      <c r="O143" s="1"/>
      <c r="P143" s="1"/>
      <c r="Q143" s="1"/>
      <c r="R143" s="1"/>
      <c r="S143" s="1"/>
      <c r="T143" s="172" t="s">
        <v>105</v>
      </c>
      <c r="U143" s="1"/>
      <c r="V143" s="1"/>
      <c r="W143" s="1"/>
      <c r="X143" s="1"/>
      <c r="Y143" s="1"/>
      <c r="Z143" s="1"/>
      <c r="AC143" s="209"/>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2" t="s">
        <v>106</v>
      </c>
      <c r="U144" s="1"/>
      <c r="V144" s="1"/>
      <c r="W144" s="1"/>
      <c r="X144" s="1"/>
      <c r="Y144" s="1"/>
      <c r="Z144" s="1"/>
      <c r="AC144" s="209"/>
      <c r="AE144" s="1" t="s">
        <v>107</v>
      </c>
      <c r="AG144" s="202"/>
      <c r="AH144" s="202"/>
      <c r="AI144" s="202"/>
      <c r="AJ144" s="202"/>
      <c r="AK144" s="202"/>
      <c r="AL144" s="202"/>
      <c r="AQ144" s="1"/>
    </row>
    <row r="145" ht="27.65" customHeight="1" spans="1:43" x14ac:dyDescent="0.25">
      <c r="A145" s="210"/>
      <c r="B145" s="210"/>
      <c r="C145" s="210"/>
      <c r="D145" s="210"/>
      <c r="E145" s="210"/>
      <c r="F145" s="210"/>
      <c r="G145" s="1"/>
      <c r="H145" s="1"/>
      <c r="I145" s="1"/>
      <c r="J145" s="1"/>
      <c r="K145" s="1"/>
      <c r="L145" s="1"/>
      <c r="M145" s="1"/>
      <c r="N145" s="1"/>
      <c r="O145" s="1"/>
      <c r="P145" s="1"/>
      <c r="Q145" s="1"/>
      <c r="R145" s="1"/>
      <c r="S145" s="1"/>
      <c r="T145" s="172" t="s">
        <v>108</v>
      </c>
      <c r="U145" s="1"/>
      <c r="V145" s="1"/>
      <c r="W145" s="1"/>
      <c r="X145" s="1"/>
      <c r="Y145" s="1"/>
      <c r="Z145" s="1"/>
      <c r="AC145" s="209"/>
      <c r="AE145" s="97"/>
      <c r="AF145" s="97"/>
      <c r="AG145" s="97"/>
      <c r="AH145" s="97"/>
      <c r="AI145" s="97"/>
      <c r="AJ145" s="97"/>
      <c r="AK145" s="97"/>
      <c r="AL145" s="97"/>
      <c r="AM145" s="97"/>
      <c r="AQ145" s="1"/>
    </row>
    <row r="146" ht="14.25" customHeight="1" spans="1:43" x14ac:dyDescent="0.25">
      <c r="A146" s="210"/>
      <c r="B146" s="210"/>
      <c r="C146" s="210"/>
      <c r="D146" s="210"/>
      <c r="E146" s="210"/>
      <c r="F146" s="210"/>
      <c r="G146" s="1"/>
      <c r="H146" s="1"/>
      <c r="I146" s="1"/>
      <c r="J146" s="1"/>
      <c r="K146" s="1"/>
      <c r="L146" s="1"/>
      <c r="M146" s="1"/>
      <c r="N146" s="1"/>
      <c r="O146" s="1"/>
      <c r="P146" s="1"/>
      <c r="Q146" s="1"/>
      <c r="R146" s="1"/>
      <c r="S146" s="1"/>
      <c r="T146" s="211" t="s">
        <v>109</v>
      </c>
      <c r="U146" s="212"/>
      <c r="V146" s="212"/>
      <c r="W146" s="212"/>
      <c r="X146" s="212"/>
      <c r="Y146" s="212"/>
      <c r="Z146" s="212"/>
      <c r="AA146" s="212"/>
      <c r="AB146" s="212"/>
      <c r="AC146" s="213"/>
      <c r="AE146" s="208" t="s">
        <v>110</v>
      </c>
      <c r="AF146" s="208"/>
      <c r="AG146" s="208"/>
      <c r="AH146" s="208"/>
      <c r="AI146" s="208"/>
      <c r="AJ146" s="208"/>
      <c r="AK146" s="208"/>
      <c r="AL146" s="208"/>
      <c r="AM146" s="208"/>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1"/>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1"/>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1"/>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1"/>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1"/>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1"/>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1"/>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1"/>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1"/>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1"/>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1"/>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1"/>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1"/>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1"/>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1"/>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1"/>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1"/>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1"/>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1"/>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1"/>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1"/>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1"/>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1"/>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1"/>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1"/>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1"/>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1"/>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1"/>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1"/>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1"/>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1"/>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1"/>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1"/>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1"/>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1"/>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1"/>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1"/>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1"/>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1"/>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1"/>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1"/>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1"/>
    </row>
    <row r="55" ht="21.9" customHeight="1" spans="1:43" x14ac:dyDescent="0.25">
      <c r="A55" s="62">
        <v>43</v>
      </c>
      <c r="B55" s="77"/>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1"/>
    </row>
    <row r="56" ht="21.9" customHeight="1" spans="1:43" x14ac:dyDescent="0.25">
      <c r="A56" s="62">
        <v>44</v>
      </c>
      <c r="B56" s="77"/>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1"/>
    </row>
    <row r="57" ht="21.9" customHeight="1" spans="1:43" x14ac:dyDescent="0.25">
      <c r="A57" s="62">
        <v>45</v>
      </c>
      <c r="B57" s="77"/>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1"/>
    </row>
    <row r="58" ht="21.9" customHeight="1" spans="1:43" x14ac:dyDescent="0.25">
      <c r="A58" s="62">
        <v>46</v>
      </c>
      <c r="B58" s="77"/>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1"/>
    </row>
    <row r="59" ht="21.9" customHeight="1" spans="1:43" x14ac:dyDescent="0.25">
      <c r="A59" s="62">
        <v>47</v>
      </c>
      <c r="B59" s="77"/>
      <c r="C59" s="78"/>
      <c r="D59" s="78"/>
      <c r="E59" s="78"/>
      <c r="F59" s="78"/>
      <c r="G59" s="79"/>
      <c r="H59" s="80"/>
      <c r="I59" s="80"/>
      <c r="J59" s="80"/>
      <c r="K59" s="81"/>
      <c r="L59" s="82"/>
      <c r="M59" s="80"/>
      <c r="N59" s="80"/>
      <c r="O59" s="80"/>
      <c r="P59" s="83"/>
      <c r="Q59" s="79"/>
      <c r="R59" s="80"/>
      <c r="S59" s="80"/>
      <c r="T59" s="80"/>
      <c r="U59" s="81"/>
      <c r="V59" s="82"/>
      <c r="W59" s="80"/>
      <c r="X59" s="80"/>
      <c r="Y59" s="80"/>
      <c r="Z59" s="83"/>
      <c r="AA59" s="79"/>
      <c r="AB59" s="80"/>
      <c r="AC59" s="80"/>
      <c r="AD59" s="83"/>
      <c r="AE59" s="81"/>
      <c r="AF59" s="72">
        <f t="shared" si="0"/>
      </c>
      <c r="AG59" s="73">
        <f t="shared" si="2"/>
      </c>
      <c r="AH59" s="74"/>
      <c r="AI59" s="75"/>
      <c r="AJ59" s="75"/>
      <c r="AK59" s="75"/>
      <c r="AL59" s="75"/>
      <c r="AM59" s="76"/>
      <c r="AQ59" s="1"/>
    </row>
    <row r="60" ht="21.9" customHeight="1" spans="1:43" x14ac:dyDescent="0.25">
      <c r="A60" s="62">
        <v>48</v>
      </c>
      <c r="B60" s="77"/>
      <c r="C60" s="78"/>
      <c r="D60" s="78"/>
      <c r="E60" s="78"/>
      <c r="F60" s="78"/>
      <c r="G60" s="79"/>
      <c r="H60" s="80"/>
      <c r="I60" s="80"/>
      <c r="J60" s="80"/>
      <c r="K60" s="81"/>
      <c r="L60" s="82"/>
      <c r="M60" s="80"/>
      <c r="N60" s="80"/>
      <c r="O60" s="80"/>
      <c r="P60" s="83"/>
      <c r="Q60" s="79"/>
      <c r="R60" s="80"/>
      <c r="S60" s="80"/>
      <c r="T60" s="80"/>
      <c r="U60" s="81"/>
      <c r="V60" s="82"/>
      <c r="W60" s="80"/>
      <c r="X60" s="80"/>
      <c r="Y60" s="80"/>
      <c r="Z60" s="83"/>
      <c r="AA60" s="79"/>
      <c r="AB60" s="80"/>
      <c r="AC60" s="80"/>
      <c r="AD60" s="83"/>
      <c r="AE60" s="81"/>
      <c r="AF60" s="72">
        <f t="shared" si="0"/>
      </c>
      <c r="AG60" s="73">
        <f t="shared" si="2"/>
      </c>
      <c r="AH60" s="74"/>
      <c r="AI60" s="75"/>
      <c r="AJ60" s="75"/>
      <c r="AK60" s="75"/>
      <c r="AL60" s="75"/>
      <c r="AM60" s="76"/>
      <c r="AQ60" s="1"/>
    </row>
    <row r="61" ht="21.9" customHeight="1" spans="1:43" x14ac:dyDescent="0.25">
      <c r="A61" s="62">
        <v>49</v>
      </c>
      <c r="B61" s="77"/>
      <c r="C61" s="78"/>
      <c r="D61" s="78"/>
      <c r="E61" s="78"/>
      <c r="F61" s="78"/>
      <c r="G61" s="79"/>
      <c r="H61" s="80"/>
      <c r="I61" s="80"/>
      <c r="J61" s="80"/>
      <c r="K61" s="81"/>
      <c r="L61" s="82"/>
      <c r="M61" s="80"/>
      <c r="N61" s="80"/>
      <c r="O61" s="80"/>
      <c r="P61" s="83"/>
      <c r="Q61" s="79"/>
      <c r="R61" s="80"/>
      <c r="S61" s="80"/>
      <c r="T61" s="80"/>
      <c r="U61" s="81"/>
      <c r="V61" s="82"/>
      <c r="W61" s="80"/>
      <c r="X61" s="80"/>
      <c r="Y61" s="80"/>
      <c r="Z61" s="83"/>
      <c r="AA61" s="79"/>
      <c r="AB61" s="80"/>
      <c r="AC61" s="80"/>
      <c r="AD61" s="83"/>
      <c r="AE61" s="81"/>
      <c r="AF61" s="72">
        <f t="shared" si="0"/>
      </c>
      <c r="AG61" s="73">
        <f t="shared" si="2"/>
      </c>
      <c r="AH61" s="74"/>
      <c r="AI61" s="75"/>
      <c r="AJ61" s="75"/>
      <c r="AK61" s="75"/>
      <c r="AL61" s="75"/>
      <c r="AM61" s="76"/>
      <c r="AQ61" s="1"/>
    </row>
    <row r="62" ht="21.9" customHeight="1" spans="1:43" x14ac:dyDescent="0.25">
      <c r="A62" s="79">
        <v>50</v>
      </c>
      <c r="B62" s="84"/>
      <c r="C62" s="78"/>
      <c r="D62" s="78"/>
      <c r="E62" s="78"/>
      <c r="F62" s="78"/>
      <c r="G62" s="79"/>
      <c r="H62" s="80"/>
      <c r="I62" s="80"/>
      <c r="J62" s="80"/>
      <c r="K62" s="81"/>
      <c r="L62" s="82"/>
      <c r="M62" s="80"/>
      <c r="N62" s="80"/>
      <c r="O62" s="80"/>
      <c r="P62" s="83"/>
      <c r="Q62" s="79"/>
      <c r="R62" s="80"/>
      <c r="S62" s="80"/>
      <c r="T62" s="80"/>
      <c r="U62" s="81"/>
      <c r="V62" s="82"/>
      <c r="W62" s="80"/>
      <c r="X62" s="80"/>
      <c r="Y62" s="80"/>
      <c r="Z62" s="83"/>
      <c r="AA62" s="79"/>
      <c r="AB62" s="80"/>
      <c r="AC62" s="80"/>
      <c r="AD62" s="83"/>
      <c r="AE62" s="81"/>
      <c r="AF62" s="72">
        <f t="shared" si="0"/>
      </c>
      <c r="AG62" s="73">
        <f t="shared" si="2"/>
      </c>
      <c r="AH62" s="74"/>
      <c r="AI62" s="75"/>
      <c r="AJ62" s="85"/>
      <c r="AK62" s="85"/>
      <c r="AL62" s="85"/>
      <c r="AM62" s="86"/>
      <c r="AQ62" s="1"/>
    </row>
    <row r="63" ht="21.9" customHeight="1" spans="1:43" x14ac:dyDescent="0.25">
      <c r="A63" s="87"/>
      <c r="B63" s="88" t="s">
        <v>36</v>
      </c>
      <c r="C63" s="88"/>
      <c r="D63" s="88"/>
      <c r="E63" s="88"/>
      <c r="F63" s="88"/>
      <c r="G63" s="89">
        <f t="shared" ref="G63:AE63" si="3">IF(G10="","",COUNTA($B$13:$B$62)-(COUNTIF(G13:G62,"x")*1+COUNTIF(G13:G62,"h")*0.5))</f>
        <v>0</v>
      </c>
      <c r="H63" s="90">
        <f t="shared" si="3"/>
        <v>0</v>
      </c>
      <c r="I63" s="90">
        <f t="shared" si="3"/>
        <v>0</v>
      </c>
      <c r="J63" s="90">
        <f t="shared" si="3"/>
        <v>0</v>
      </c>
      <c r="K63" s="91">
        <f t="shared" si="3"/>
        <v>0</v>
      </c>
      <c r="L63" s="89">
        <f t="shared" si="3"/>
        <v>0</v>
      </c>
      <c r="M63" s="90">
        <f t="shared" si="3"/>
        <v>0</v>
      </c>
      <c r="N63" s="90">
        <f t="shared" si="3"/>
        <v>0</v>
      </c>
      <c r="O63" s="90">
        <f t="shared" si="3"/>
        <v>0</v>
      </c>
      <c r="P63" s="91">
        <f t="shared" si="3"/>
        <v>0</v>
      </c>
      <c r="Q63" s="89">
        <f t="shared" si="3"/>
        <v>0</v>
      </c>
      <c r="R63" s="90">
        <f t="shared" si="3"/>
        <v>0</v>
      </c>
      <c r="S63" s="90">
        <f t="shared" si="3"/>
        <v>0</v>
      </c>
      <c r="T63" s="90">
        <f t="shared" si="3"/>
        <v>0</v>
      </c>
      <c r="U63" s="91">
        <f t="shared" si="3"/>
        <v>0</v>
      </c>
      <c r="V63" s="89">
        <f t="shared" si="3"/>
        <v>0</v>
      </c>
      <c r="W63" s="90">
        <f t="shared" si="3"/>
        <v>0</v>
      </c>
      <c r="X63" s="90">
        <f t="shared" si="3"/>
        <v>0</v>
      </c>
      <c r="Y63" s="90">
        <f t="shared" si="3"/>
        <v>0</v>
      </c>
      <c r="Z63" s="91">
        <f t="shared" si="3"/>
        <v>0</v>
      </c>
      <c r="AA63" s="89">
        <f t="shared" si="3"/>
        <v>0</v>
      </c>
      <c r="AB63" s="90">
        <f t="shared" si="3"/>
        <v>0</v>
      </c>
      <c r="AC63" s="90">
        <f t="shared" si="3"/>
      </c>
      <c r="AD63" s="90">
        <f t="shared" si="3"/>
      </c>
      <c r="AE63" s="91">
        <f t="shared" si="3"/>
      </c>
      <c r="AF63" s="92">
        <f>SUM(AF13:AF62)</f>
        <v>0</v>
      </c>
      <c r="AG63" s="93">
        <f>SUM(AG13:AG62)</f>
        <v>0</v>
      </c>
      <c r="AH63" s="94"/>
      <c r="AI63" s="95"/>
      <c r="AJ63" s="95"/>
      <c r="AK63" s="95"/>
      <c r="AL63" s="95"/>
      <c r="AM63" s="96"/>
      <c r="AQ63" s="1"/>
    </row>
    <row r="64" ht="21.9" customHeight="1" spans="1:43" x14ac:dyDescent="0.25">
      <c r="A64" s="62">
        <v>1</v>
      </c>
      <c r="B64" s="63" t="s">
        <v>37</v>
      </c>
      <c r="C64" s="97"/>
      <c r="D64" s="97"/>
      <c r="E64" s="97"/>
      <c r="F64" s="97"/>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1"/>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1"/>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1"/>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1"/>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1"/>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1"/>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1"/>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1"/>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1"/>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1"/>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1"/>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1"/>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1"/>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1"/>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1"/>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1"/>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1"/>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1"/>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1"/>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1"/>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1"/>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1"/>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1"/>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1"/>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1"/>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1"/>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1"/>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1"/>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1"/>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1"/>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1"/>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1"/>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1"/>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1"/>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1"/>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1"/>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1"/>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1"/>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1"/>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1"/>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1"/>
    </row>
    <row r="105" ht="21.9" customHeight="1" spans="1:43" x14ac:dyDescent="0.25">
      <c r="A105" s="62">
        <v>42</v>
      </c>
      <c r="B105" s="77"/>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1"/>
    </row>
    <row r="106" ht="21.9" customHeight="1" spans="1:43" x14ac:dyDescent="0.25">
      <c r="A106" s="62">
        <v>43</v>
      </c>
      <c r="B106" s="77"/>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1"/>
    </row>
    <row r="107" ht="21.9" customHeight="1" spans="1:43" x14ac:dyDescent="0.25">
      <c r="A107" s="62">
        <v>44</v>
      </c>
      <c r="B107" s="77"/>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1"/>
    </row>
    <row r="108" ht="21.9" customHeight="1" spans="1:43" x14ac:dyDescent="0.25">
      <c r="A108" s="62">
        <v>45</v>
      </c>
      <c r="B108" s="77"/>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1"/>
    </row>
    <row r="109" ht="21.9" customHeight="1" spans="1:43" x14ac:dyDescent="0.25">
      <c r="A109" s="62">
        <v>46</v>
      </c>
      <c r="B109" s="77"/>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1"/>
    </row>
    <row r="110" ht="21.9" customHeight="1" spans="1:43" x14ac:dyDescent="0.25">
      <c r="A110" s="62">
        <v>47</v>
      </c>
      <c r="B110" s="77"/>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1"/>
    </row>
    <row r="111" ht="21.9" customHeight="1" spans="1:43" x14ac:dyDescent="0.25">
      <c r="A111" s="62">
        <v>48</v>
      </c>
      <c r="B111" s="77"/>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1"/>
    </row>
    <row r="112" ht="21.9" customHeight="1" spans="1:43" x14ac:dyDescent="0.25">
      <c r="A112" s="62">
        <v>49</v>
      </c>
      <c r="B112" s="77"/>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1"/>
    </row>
    <row r="113" ht="21.9" customHeight="1" spans="1:43" x14ac:dyDescent="0.25">
      <c r="A113" s="79">
        <v>50</v>
      </c>
      <c r="B113" s="84"/>
      <c r="C113" s="78"/>
      <c r="D113" s="78"/>
      <c r="E113" s="78"/>
      <c r="F113" s="78"/>
      <c r="G113" s="79"/>
      <c r="H113" s="80"/>
      <c r="I113" s="80"/>
      <c r="J113" s="80"/>
      <c r="K113" s="81"/>
      <c r="L113" s="82"/>
      <c r="M113" s="80"/>
      <c r="N113" s="80"/>
      <c r="O113" s="80"/>
      <c r="P113" s="83"/>
      <c r="Q113" s="79"/>
      <c r="R113" s="80"/>
      <c r="S113" s="80"/>
      <c r="T113" s="80"/>
      <c r="U113" s="81"/>
      <c r="V113" s="82"/>
      <c r="W113" s="80"/>
      <c r="X113" s="80"/>
      <c r="Y113" s="80"/>
      <c r="Z113" s="83"/>
      <c r="AA113" s="79"/>
      <c r="AB113" s="80"/>
      <c r="AC113" s="80"/>
      <c r="AD113" s="83"/>
      <c r="AE113" s="81"/>
      <c r="AF113" s="98">
        <f t="shared" si="4"/>
      </c>
      <c r="AG113" s="99">
        <f t="shared" si="5"/>
      </c>
      <c r="AH113" s="100"/>
      <c r="AI113" s="85"/>
      <c r="AJ113" s="85"/>
      <c r="AK113" s="85"/>
      <c r="AL113" s="85"/>
      <c r="AM113" s="86"/>
      <c r="AQ113" s="1"/>
    </row>
    <row r="114" ht="21.9" customHeight="1" spans="1:43" x14ac:dyDescent="0.25">
      <c r="A114" s="101" t="s">
        <v>42</v>
      </c>
      <c r="B114" s="88"/>
      <c r="C114" s="88"/>
      <c r="D114" s="88"/>
      <c r="E114" s="88"/>
      <c r="F114" s="88"/>
      <c r="G114" s="102">
        <f t="shared" ref="G114:AE114" si="6">IF(G10="","",COUNTA($B$64:$B$113)-(COUNTIF(G64:G113,"x")+COUNTIF(G64:G113,"h")*0.5))</f>
        <v>0</v>
      </c>
      <c r="H114" s="90">
        <f t="shared" si="6"/>
        <v>0</v>
      </c>
      <c r="I114" s="90">
        <f t="shared" si="6"/>
        <v>0</v>
      </c>
      <c r="J114" s="90">
        <f t="shared" si="6"/>
        <v>0</v>
      </c>
      <c r="K114" s="91">
        <f t="shared" si="6"/>
        <v>0</v>
      </c>
      <c r="L114" s="102">
        <f t="shared" si="6"/>
        <v>0</v>
      </c>
      <c r="M114" s="90">
        <f t="shared" si="6"/>
        <v>0</v>
      </c>
      <c r="N114" s="90">
        <f t="shared" si="6"/>
        <v>0</v>
      </c>
      <c r="O114" s="90">
        <f t="shared" si="6"/>
        <v>0</v>
      </c>
      <c r="P114" s="91">
        <f t="shared" si="6"/>
        <v>0</v>
      </c>
      <c r="Q114" s="102">
        <f t="shared" si="6"/>
        <v>0</v>
      </c>
      <c r="R114" s="90">
        <f t="shared" si="6"/>
        <v>0</v>
      </c>
      <c r="S114" s="90">
        <f t="shared" si="6"/>
        <v>0</v>
      </c>
      <c r="T114" s="90">
        <f t="shared" si="6"/>
        <v>0</v>
      </c>
      <c r="U114" s="91">
        <f t="shared" si="6"/>
        <v>0</v>
      </c>
      <c r="V114" s="102">
        <f t="shared" si="6"/>
        <v>0</v>
      </c>
      <c r="W114" s="90">
        <f t="shared" si="6"/>
        <v>0</v>
      </c>
      <c r="X114" s="90">
        <f t="shared" si="6"/>
        <v>0</v>
      </c>
      <c r="Y114" s="90">
        <f t="shared" si="6"/>
        <v>0</v>
      </c>
      <c r="Z114" s="91">
        <f t="shared" si="6"/>
        <v>0</v>
      </c>
      <c r="AA114" s="102">
        <f t="shared" si="6"/>
        <v>0</v>
      </c>
      <c r="AB114" s="90">
        <f t="shared" si="6"/>
        <v>0</v>
      </c>
      <c r="AC114" s="90">
        <f t="shared" si="6"/>
      </c>
      <c r="AD114" s="90">
        <f t="shared" si="6"/>
      </c>
      <c r="AE114" s="91">
        <f t="shared" si="6"/>
      </c>
      <c r="AF114" s="92">
        <f>SUM(AF64:AF113)</f>
        <v>0</v>
      </c>
      <c r="AG114" s="93">
        <f>SUM(AG64:AG113)</f>
        <v>0</v>
      </c>
      <c r="AH114" s="103"/>
      <c r="AI114" s="104"/>
      <c r="AJ114" s="104"/>
      <c r="AK114" s="104"/>
      <c r="AL114" s="104"/>
      <c r="AM114" s="105"/>
      <c r="AQ114" s="1"/>
    </row>
    <row r="115" ht="21.9" customHeight="1" spans="1:43" x14ac:dyDescent="0.25">
      <c r="A115" s="106" t="s">
        <v>43</v>
      </c>
      <c r="B115" s="106"/>
      <c r="C115" s="107"/>
      <c r="D115" s="107"/>
      <c r="E115" s="107"/>
      <c r="F115" s="107"/>
      <c r="G115" s="108">
        <f t="shared" ref="G115:AE115" si="7">IF(G10="","",G63+G114)</f>
        <v>0</v>
      </c>
      <c r="H115" s="109">
        <f t="shared" si="7"/>
        <v>0</v>
      </c>
      <c r="I115" s="109">
        <f t="shared" si="7"/>
        <v>0</v>
      </c>
      <c r="J115" s="109">
        <f t="shared" si="7"/>
        <v>0</v>
      </c>
      <c r="K115" s="110">
        <f t="shared" si="7"/>
        <v>0</v>
      </c>
      <c r="L115" s="108">
        <f t="shared" si="7"/>
        <v>0</v>
      </c>
      <c r="M115" s="109">
        <f t="shared" si="7"/>
        <v>0</v>
      </c>
      <c r="N115" s="109">
        <f t="shared" si="7"/>
        <v>0</v>
      </c>
      <c r="O115" s="109">
        <f t="shared" si="7"/>
        <v>0</v>
      </c>
      <c r="P115" s="110">
        <f t="shared" si="7"/>
        <v>0</v>
      </c>
      <c r="Q115" s="108">
        <f t="shared" si="7"/>
        <v>0</v>
      </c>
      <c r="R115" s="109">
        <f t="shared" si="7"/>
        <v>0</v>
      </c>
      <c r="S115" s="109">
        <f t="shared" si="7"/>
        <v>0</v>
      </c>
      <c r="T115" s="109">
        <f t="shared" si="7"/>
        <v>0</v>
      </c>
      <c r="U115" s="110">
        <f t="shared" si="7"/>
        <v>0</v>
      </c>
      <c r="V115" s="108">
        <f t="shared" si="7"/>
        <v>0</v>
      </c>
      <c r="W115" s="109">
        <f t="shared" si="7"/>
        <v>0</v>
      </c>
      <c r="X115" s="109">
        <f t="shared" si="7"/>
        <v>0</v>
      </c>
      <c r="Y115" s="109">
        <f t="shared" si="7"/>
        <v>0</v>
      </c>
      <c r="Z115" s="110">
        <f t="shared" si="7"/>
        <v>0</v>
      </c>
      <c r="AA115" s="108">
        <f t="shared" si="7"/>
        <v>0</v>
      </c>
      <c r="AB115" s="109">
        <f t="shared" si="7"/>
        <v>0</v>
      </c>
      <c r="AC115" s="109">
        <f t="shared" si="7"/>
      </c>
      <c r="AD115" s="109">
        <f t="shared" si="7"/>
      </c>
      <c r="AE115" s="110">
        <f t="shared" si="7"/>
      </c>
      <c r="AF115" s="111">
        <f>AF63+AF114</f>
        <v>0</v>
      </c>
      <c r="AG115" s="112">
        <f>AG63+AG114</f>
        <v>0</v>
      </c>
      <c r="AH115" s="113"/>
      <c r="AI115" s="114"/>
      <c r="AJ115" s="114"/>
      <c r="AK115" s="114"/>
      <c r="AL115" s="114"/>
      <c r="AM115" s="115"/>
      <c r="AQ115" s="1"/>
    </row>
    <row r="116" ht="6.75" customHeight="1" spans="1:43" x14ac:dyDescent="0.25">
      <c r="A116" s="116"/>
      <c r="B116" s="116"/>
      <c r="C116" s="116"/>
      <c r="D116" s="116"/>
      <c r="E116" s="116"/>
      <c r="F116" s="116"/>
      <c r="G116" s="117"/>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18" t="s">
        <v>44</v>
      </c>
      <c r="B117" s="119"/>
      <c r="C117" s="119"/>
      <c r="D117" s="119"/>
      <c r="E117" s="119"/>
      <c r="F117" s="119"/>
      <c r="G117" s="120"/>
      <c r="H117" s="120"/>
      <c r="I117" s="120"/>
      <c r="J117" s="120"/>
      <c r="K117" s="120"/>
      <c r="L117" s="120"/>
      <c r="M117" s="120"/>
      <c r="N117" s="120"/>
      <c r="O117" s="120"/>
      <c r="P117" s="120"/>
      <c r="Q117" s="120"/>
      <c r="R117" s="120"/>
      <c r="S117" s="121"/>
      <c r="T117" s="122" t="s">
        <v>45</v>
      </c>
      <c r="U117" s="123"/>
      <c r="V117" s="123"/>
      <c r="W117" s="123"/>
      <c r="X117" s="123"/>
      <c r="Y117" s="124"/>
      <c r="Z117" s="124"/>
      <c r="AA117" s="124"/>
      <c r="AB117" s="125"/>
      <c r="AC117" s="126"/>
      <c r="AE117" s="127" t="s">
        <v>46</v>
      </c>
      <c r="AF117" s="128"/>
      <c r="AG117" s="129">
        <f>AA6</f>
        <v>NaN</v>
      </c>
      <c r="AH117" s="130" t="s">
        <v>47</v>
      </c>
      <c r="AI117" s="131"/>
      <c r="AJ117" s="132">
        <f>AQ9</f>
        <v>22</v>
      </c>
      <c r="AK117" s="133" t="s">
        <v>48</v>
      </c>
      <c r="AL117" s="133"/>
      <c r="AM117" s="134"/>
      <c r="AQ117" s="1"/>
    </row>
    <row r="118" ht="15" customHeight="1" spans="1:43" x14ac:dyDescent="0.25">
      <c r="A118" s="135" t="s">
        <v>49</v>
      </c>
      <c r="B118" s="135"/>
      <c r="C118" s="135"/>
      <c r="D118" s="135"/>
      <c r="E118" s="135"/>
      <c r="F118" s="135"/>
      <c r="G118" s="1"/>
      <c r="H118" s="1"/>
      <c r="I118" s="1"/>
      <c r="J118" s="1"/>
      <c r="K118" s="1"/>
      <c r="L118" s="1"/>
      <c r="M118" s="1"/>
      <c r="N118" s="1"/>
      <c r="O118" s="1"/>
      <c r="P118" s="1"/>
      <c r="Q118" s="1"/>
      <c r="R118" s="120"/>
      <c r="S118" s="121"/>
      <c r="T118" s="136" t="s">
        <v>50</v>
      </c>
      <c r="U118" s="1"/>
      <c r="V118" s="1"/>
      <c r="W118" s="1"/>
      <c r="X118" s="1"/>
      <c r="Y118" s="1"/>
      <c r="Z118" s="1"/>
      <c r="AA118" s="1"/>
      <c r="AB118" s="1"/>
      <c r="AC118" s="138"/>
      <c r="AE118" s="139"/>
      <c r="AF118" s="140"/>
      <c r="AG118" s="141"/>
      <c r="AH118" s="142"/>
      <c r="AI118" s="143"/>
      <c r="AJ118" s="144"/>
      <c r="AK118" s="145" t="s">
        <v>16</v>
      </c>
      <c r="AL118" s="146" t="s">
        <v>20</v>
      </c>
      <c r="AM118" s="147" t="s">
        <v>51</v>
      </c>
      <c r="AQ118" s="1"/>
    </row>
    <row r="119" ht="15.5" customHeight="1" spans="1:43" x14ac:dyDescent="0.25">
      <c r="A119" s="135" t="s">
        <v>52</v>
      </c>
      <c r="B119" s="135"/>
      <c r="C119" s="135"/>
      <c r="D119" s="135"/>
      <c r="E119" s="135"/>
      <c r="F119" s="135"/>
      <c r="G119" s="1"/>
      <c r="H119" s="1"/>
      <c r="I119" s="1"/>
      <c r="J119" s="1"/>
      <c r="K119" s="1"/>
      <c r="L119" s="1"/>
      <c r="M119" s="1"/>
      <c r="N119" s="1"/>
      <c r="O119" s="1"/>
      <c r="P119" s="1"/>
      <c r="Q119" s="1"/>
      <c r="R119" s="120"/>
      <c r="S119" s="121"/>
      <c r="T119" s="1"/>
      <c r="U119" s="1"/>
      <c r="V119" s="1"/>
      <c r="W119" s="1"/>
      <c r="X119" s="1"/>
      <c r="Y119" s="1"/>
      <c r="Z119" s="1"/>
      <c r="AA119" s="1"/>
      <c r="AB119" s="1"/>
      <c r="AC119" s="138"/>
      <c r="AE119" s="149" t="s">
        <v>53</v>
      </c>
      <c r="AF119" s="150"/>
      <c r="AG119" s="150"/>
      <c r="AH119" s="150"/>
      <c r="AI119" s="150"/>
      <c r="AJ119" s="151"/>
      <c r="AK119" s="152"/>
      <c r="AL119" s="152"/>
      <c r="AM119" s="153">
        <f>AK119+AL119</f>
        <v>0</v>
      </c>
      <c r="AQ119" s="1"/>
    </row>
    <row r="120" ht="15.75" customHeight="1" spans="1:43" x14ac:dyDescent="0.25">
      <c r="A120" s="135" t="s">
        <v>54</v>
      </c>
      <c r="B120" s="135"/>
      <c r="C120" s="135"/>
      <c r="D120" s="135"/>
      <c r="E120" s="135"/>
      <c r="F120" s="135"/>
      <c r="G120" s="1"/>
      <c r="H120" s="1"/>
      <c r="I120" s="1"/>
      <c r="J120" s="1"/>
      <c r="K120" s="1"/>
      <c r="L120" s="1"/>
      <c r="M120" s="1"/>
      <c r="N120" s="1"/>
      <c r="O120" s="1"/>
      <c r="P120" s="1"/>
      <c r="Q120" s="1"/>
      <c r="R120" s="120"/>
      <c r="S120" s="121"/>
      <c r="T120" s="1"/>
      <c r="U120" s="1"/>
      <c r="V120" s="1"/>
      <c r="W120" s="1"/>
      <c r="X120" s="1"/>
      <c r="Y120" s="1"/>
      <c r="Z120" s="1"/>
      <c r="AA120" s="1"/>
      <c r="AB120" s="1"/>
      <c r="AC120" s="138"/>
      <c r="AE120" s="154"/>
      <c r="AF120" s="155"/>
      <c r="AG120" s="155"/>
      <c r="AH120" s="155"/>
      <c r="AI120" s="155"/>
      <c r="AJ120" s="156"/>
      <c r="AK120" s="31"/>
      <c r="AL120" s="31"/>
      <c r="AM120" s="157"/>
      <c r="AQ120" s="1"/>
    </row>
    <row r="121" ht="15.75" customHeight="1" spans="1:43" x14ac:dyDescent="0.25">
      <c r="A121" s="158" t="s">
        <v>55</v>
      </c>
      <c r="B121" s="159" t="s">
        <v>56</v>
      </c>
      <c r="C121" s="159"/>
      <c r="D121" s="159"/>
      <c r="E121" s="159"/>
      <c r="F121" s="159"/>
      <c r="G121" s="160" t="s">
        <v>57</v>
      </c>
      <c r="H121" s="1"/>
      <c r="I121" s="1"/>
      <c r="J121" s="1"/>
      <c r="K121" s="1"/>
      <c r="L121" s="1"/>
      <c r="M121" s="1"/>
      <c r="N121" s="1"/>
      <c r="O121" s="1"/>
      <c r="P121" s="1"/>
      <c r="Q121" s="161" t="s">
        <v>58</v>
      </c>
      <c r="R121" s="1"/>
      <c r="S121" s="121"/>
      <c r="T121" s="162" t="s">
        <v>59</v>
      </c>
      <c r="U121" s="1"/>
      <c r="V121" s="1"/>
      <c r="W121" s="1"/>
      <c r="X121" s="1"/>
      <c r="Y121" s="3"/>
      <c r="Z121" s="1"/>
      <c r="AA121" s="1"/>
      <c r="AB121" s="163"/>
      <c r="AC121" s="138"/>
      <c r="AE121" s="164" t="s">
        <v>60</v>
      </c>
      <c r="AF121" s="165"/>
      <c r="AG121" s="165"/>
      <c r="AH121" s="165"/>
      <c r="AI121" s="165"/>
      <c r="AJ121" s="165"/>
      <c r="AK121" s="166">
        <v>0</v>
      </c>
      <c r="AL121" s="166">
        <v>0</v>
      </c>
      <c r="AM121" s="167">
        <f>AK121+AL121</f>
        <v>0</v>
      </c>
      <c r="AQ121" s="1"/>
    </row>
    <row r="122" ht="15.75" customHeight="1" spans="1:43" x14ac:dyDescent="0.25">
      <c r="A122" s="158"/>
      <c r="B122" s="159"/>
      <c r="C122" s="159"/>
      <c r="D122" s="159"/>
      <c r="E122" s="159"/>
      <c r="F122" s="159"/>
      <c r="G122" s="168" t="s">
        <v>61</v>
      </c>
      <c r="H122" s="1"/>
      <c r="I122" s="1"/>
      <c r="J122" s="1"/>
      <c r="K122" s="1"/>
      <c r="L122" s="1"/>
      <c r="M122" s="1"/>
      <c r="N122" s="1"/>
      <c r="O122" s="1"/>
      <c r="P122" s="1"/>
      <c r="Q122" s="1"/>
      <c r="R122" s="1"/>
      <c r="S122" s="121"/>
      <c r="T122" s="162" t="s">
        <v>62</v>
      </c>
      <c r="U122" s="3"/>
      <c r="V122" s="3"/>
      <c r="W122" s="3"/>
      <c r="X122" s="3"/>
      <c r="Y122" s="3"/>
      <c r="Z122" s="1"/>
      <c r="AA122" s="1"/>
      <c r="AB122" s="163"/>
      <c r="AC122" s="138"/>
      <c r="AE122" s="164"/>
      <c r="AF122" s="165"/>
      <c r="AG122" s="165"/>
      <c r="AH122" s="165"/>
      <c r="AI122" s="165"/>
      <c r="AJ122" s="165"/>
      <c r="AK122" s="166"/>
      <c r="AL122" s="166"/>
      <c r="AM122" s="167"/>
      <c r="AQ122" s="1"/>
    </row>
    <row r="123" ht="18" customHeight="1" spans="1:43" x14ac:dyDescent="0.25">
      <c r="A123" s="158" t="s">
        <v>63</v>
      </c>
      <c r="B123" s="169" t="s">
        <v>64</v>
      </c>
      <c r="C123" s="169"/>
      <c r="D123" s="169"/>
      <c r="E123" s="169"/>
      <c r="F123" s="169"/>
      <c r="G123" s="170" t="s">
        <v>65</v>
      </c>
      <c r="H123" s="1"/>
      <c r="I123" s="1"/>
      <c r="J123" s="1"/>
      <c r="K123" s="1"/>
      <c r="L123" s="1"/>
      <c r="M123" s="1"/>
      <c r="N123" s="1"/>
      <c r="O123" s="1"/>
      <c r="P123" s="1"/>
      <c r="Q123" s="171"/>
      <c r="R123" s="120"/>
      <c r="S123" s="121"/>
      <c r="T123" s="172" t="s">
        <v>66</v>
      </c>
      <c r="U123" s="3"/>
      <c r="V123" s="3"/>
      <c r="W123" s="3"/>
      <c r="X123" s="3"/>
      <c r="Y123" s="3"/>
      <c r="Z123" s="1"/>
      <c r="AA123" s="1"/>
      <c r="AB123" s="163"/>
      <c r="AC123" s="138"/>
      <c r="AE123" s="164" t="s">
        <v>67</v>
      </c>
      <c r="AF123" s="165"/>
      <c r="AG123" s="165"/>
      <c r="AH123" s="165"/>
      <c r="AI123" s="165"/>
      <c r="AJ123" s="165"/>
      <c r="AK123" s="173">
        <f>COUNTA($B$13:$B$62)</f>
        <v>0</v>
      </c>
      <c r="AL123" s="173">
        <f>COUNTA($B$64:$B$113)</f>
        <v>0</v>
      </c>
      <c r="AM123" s="153">
        <f>AK123+AL123</f>
        <v>0</v>
      </c>
      <c r="AQ123" s="1"/>
    </row>
    <row r="124" ht="14.25" customHeight="1" spans="1:43" x14ac:dyDescent="0.25">
      <c r="A124" s="158"/>
      <c r="B124" s="169"/>
      <c r="C124" s="169"/>
      <c r="D124" s="169"/>
      <c r="E124" s="169"/>
      <c r="F124" s="169"/>
      <c r="G124" s="168" t="s">
        <v>68</v>
      </c>
      <c r="H124" s="1"/>
      <c r="I124" s="1"/>
      <c r="J124" s="1"/>
      <c r="K124" s="1"/>
      <c r="L124" s="1"/>
      <c r="M124" s="1"/>
      <c r="N124" s="1"/>
      <c r="O124" s="1"/>
      <c r="P124" s="1"/>
      <c r="Q124" s="120"/>
      <c r="R124" s="120"/>
      <c r="S124" s="121"/>
      <c r="T124" s="172" t="s">
        <v>69</v>
      </c>
      <c r="U124" s="1"/>
      <c r="V124" s="1"/>
      <c r="W124" s="1"/>
      <c r="X124" s="1"/>
      <c r="Y124" s="3"/>
      <c r="Z124" s="1"/>
      <c r="AA124" s="1"/>
      <c r="AB124" s="163"/>
      <c r="AC124" s="138"/>
      <c r="AE124" s="164"/>
      <c r="AF124" s="165"/>
      <c r="AG124" s="165"/>
      <c r="AH124" s="165"/>
      <c r="AI124" s="165"/>
      <c r="AJ124" s="165"/>
      <c r="AK124" s="174"/>
      <c r="AL124" s="174"/>
      <c r="AM124" s="157"/>
      <c r="AQ124" s="1"/>
    </row>
    <row r="125" ht="15.75" customHeight="1" spans="1:43" x14ac:dyDescent="0.25">
      <c r="A125" s="175" t="s">
        <v>70</v>
      </c>
      <c r="B125" s="159" t="s">
        <v>71</v>
      </c>
      <c r="C125" s="159"/>
      <c r="D125" s="159"/>
      <c r="E125" s="159"/>
      <c r="F125" s="159"/>
      <c r="G125" s="160" t="s">
        <v>72</v>
      </c>
      <c r="H125" s="1"/>
      <c r="I125" s="1"/>
      <c r="J125" s="1"/>
      <c r="K125" s="1"/>
      <c r="L125" s="1"/>
      <c r="M125" s="1"/>
      <c r="N125" s="1"/>
      <c r="O125" s="1"/>
      <c r="P125" s="1"/>
      <c r="Q125" s="161" t="s">
        <v>58</v>
      </c>
      <c r="R125" s="1"/>
      <c r="S125" s="121"/>
      <c r="T125" s="172" t="s">
        <v>73</v>
      </c>
      <c r="U125" s="1"/>
      <c r="V125" s="1"/>
      <c r="W125" s="1"/>
      <c r="X125" s="1"/>
      <c r="Y125" s="1"/>
      <c r="Z125" s="1"/>
      <c r="AA125" s="1"/>
      <c r="AB125" s="163"/>
      <c r="AC125" s="138"/>
      <c r="AE125" s="176" t="s">
        <v>74</v>
      </c>
      <c r="AF125" s="177"/>
      <c r="AG125" s="177"/>
      <c r="AH125" s="177"/>
      <c r="AI125" s="177"/>
      <c r="AJ125" s="177"/>
      <c r="AK125" s="178" t="e">
        <f>AK123/AK119</f>
        <v>#DIV/0!</v>
      </c>
      <c r="AL125" s="178" t="e">
        <f>AL123/AL119</f>
        <v>#DIV/0!</v>
      </c>
      <c r="AM125" s="179" t="e">
        <f>AM123/AM119</f>
        <v>#DIV/0!</v>
      </c>
      <c r="AQ125" s="1"/>
    </row>
    <row r="126" ht="19.5" customHeight="1" spans="1:43" x14ac:dyDescent="0.25">
      <c r="A126" s="175"/>
      <c r="B126" s="159"/>
      <c r="C126" s="159"/>
      <c r="D126" s="159"/>
      <c r="E126" s="159"/>
      <c r="F126" s="159"/>
      <c r="G126" s="161" t="s">
        <v>75</v>
      </c>
      <c r="H126" s="1"/>
      <c r="I126" s="1"/>
      <c r="J126" s="1"/>
      <c r="K126" s="1"/>
      <c r="L126" s="1"/>
      <c r="M126" s="1"/>
      <c r="N126" s="1"/>
      <c r="O126" s="1"/>
      <c r="P126" s="1"/>
      <c r="Q126" s="1"/>
      <c r="R126" s="1"/>
      <c r="S126" s="121"/>
      <c r="T126" s="172" t="s">
        <v>76</v>
      </c>
      <c r="U126" s="1"/>
      <c r="V126" s="1"/>
      <c r="W126" s="1"/>
      <c r="X126" s="1"/>
      <c r="Y126" s="1"/>
      <c r="Z126" s="1"/>
      <c r="AA126" s="1"/>
      <c r="AB126" s="163"/>
      <c r="AC126" s="138"/>
      <c r="AE126" s="176"/>
      <c r="AF126" s="177"/>
      <c r="AG126" s="177"/>
      <c r="AH126" s="177"/>
      <c r="AI126" s="177"/>
      <c r="AJ126" s="177"/>
      <c r="AK126" s="180"/>
      <c r="AL126" s="180"/>
      <c r="AM126" s="181"/>
      <c r="AQ126" s="1"/>
    </row>
    <row r="127" ht="26.25" customHeight="1" spans="1:43" x14ac:dyDescent="0.25">
      <c r="A127" s="135"/>
      <c r="B127" s="135"/>
      <c r="C127" s="135"/>
      <c r="D127" s="135"/>
      <c r="E127" s="135"/>
      <c r="F127" s="135"/>
      <c r="G127" s="1"/>
      <c r="H127" s="1"/>
      <c r="I127" s="1"/>
      <c r="J127" s="1"/>
      <c r="K127" s="1"/>
      <c r="L127" s="1"/>
      <c r="M127" s="1"/>
      <c r="N127" s="1"/>
      <c r="O127" s="1"/>
      <c r="P127" s="161"/>
      <c r="Q127" s="161"/>
      <c r="R127" s="120"/>
      <c r="S127" s="121"/>
      <c r="T127" s="162" t="s">
        <v>77</v>
      </c>
      <c r="U127" s="1"/>
      <c r="V127" s="1"/>
      <c r="W127" s="1"/>
      <c r="X127" s="1"/>
      <c r="Y127" s="1"/>
      <c r="Z127" s="1"/>
      <c r="AA127" s="1"/>
      <c r="AB127" s="3"/>
      <c r="AC127" s="138"/>
      <c r="AE127" s="182" t="s">
        <v>78</v>
      </c>
      <c r="AF127" s="183"/>
      <c r="AG127" s="183"/>
      <c r="AH127" s="183"/>
      <c r="AI127" s="183"/>
      <c r="AJ127" s="183"/>
      <c r="AK127" s="184">
        <f>AG63/AJ117</f>
        <v>0</v>
      </c>
      <c r="AL127" s="184">
        <f>AG114/AJ117</f>
        <v>0</v>
      </c>
      <c r="AM127" s="185">
        <f>AG115/AJ117</f>
        <v>0</v>
      </c>
      <c r="AQ127" s="1"/>
    </row>
    <row r="128" ht="16.5" customHeight="1" spans="1:43" x14ac:dyDescent="0.25">
      <c r="A128" s="186" t="s">
        <v>79</v>
      </c>
      <c r="B128" s="186"/>
      <c r="C128" s="186"/>
      <c r="D128" s="186"/>
      <c r="E128" s="186"/>
      <c r="F128" s="186"/>
      <c r="G128" s="1"/>
      <c r="H128" s="1"/>
      <c r="I128" s="1"/>
      <c r="J128" s="1"/>
      <c r="K128" s="1"/>
      <c r="L128" s="1"/>
      <c r="M128" s="1"/>
      <c r="N128" s="1"/>
      <c r="O128" s="1"/>
      <c r="P128" s="1"/>
      <c r="Q128" s="1"/>
      <c r="R128" s="171"/>
      <c r="S128" s="121"/>
      <c r="T128" s="172" t="s">
        <v>80</v>
      </c>
      <c r="U128" s="1"/>
      <c r="V128" s="1"/>
      <c r="W128" s="1"/>
      <c r="X128" s="1"/>
      <c r="Y128" s="1"/>
      <c r="Z128" s="1"/>
      <c r="AA128" s="1"/>
      <c r="AB128" s="163"/>
      <c r="AC128" s="138"/>
      <c r="AE128" s="164" t="s">
        <v>81</v>
      </c>
      <c r="AF128" s="165"/>
      <c r="AG128" s="165"/>
      <c r="AH128" s="165"/>
      <c r="AI128" s="165"/>
      <c r="AJ128" s="165"/>
      <c r="AK128" s="187" t="e">
        <f>AK127/AK123</f>
        <v>#DIV/0!</v>
      </c>
      <c r="AL128" s="187" t="e">
        <f>AL127/AL123</f>
        <v>#DIV/0!</v>
      </c>
      <c r="AM128" s="188" t="e">
        <f>AM127/AM123</f>
        <v>#DIV/0!</v>
      </c>
      <c r="AQ128" s="1"/>
    </row>
    <row r="129" ht="15.75" customHeight="1" spans="1:43" x14ac:dyDescent="0.25">
      <c r="A129" s="186"/>
      <c r="B129" s="186"/>
      <c r="C129" s="186"/>
      <c r="D129" s="186"/>
      <c r="E129" s="186"/>
      <c r="F129" s="186"/>
      <c r="G129" s="1"/>
      <c r="H129" s="1"/>
      <c r="I129" s="1"/>
      <c r="J129" s="1"/>
      <c r="K129" s="1"/>
      <c r="L129" s="1"/>
      <c r="M129" s="1"/>
      <c r="N129" s="1"/>
      <c r="O129" s="1"/>
      <c r="P129" s="1"/>
      <c r="Q129" s="1"/>
      <c r="R129" s="171"/>
      <c r="S129" s="121"/>
      <c r="T129" s="172" t="s">
        <v>82</v>
      </c>
      <c r="U129" s="1"/>
      <c r="V129" s="1"/>
      <c r="W129" s="1"/>
      <c r="X129" s="1"/>
      <c r="Y129" s="1"/>
      <c r="Z129" s="1"/>
      <c r="AA129" s="1"/>
      <c r="AB129" s="163"/>
      <c r="AC129" s="138"/>
      <c r="AE129" s="164"/>
      <c r="AF129" s="165"/>
      <c r="AG129" s="165"/>
      <c r="AH129" s="165"/>
      <c r="AI129" s="165"/>
      <c r="AJ129" s="165"/>
      <c r="AK129" s="174"/>
      <c r="AL129" s="187"/>
      <c r="AM129" s="188"/>
      <c r="AQ129" s="1"/>
    </row>
    <row r="130" ht="15.75" customHeight="1" spans="1:43" x14ac:dyDescent="0.25">
      <c r="A130" s="189" t="s">
        <v>83</v>
      </c>
      <c r="B130" s="189"/>
      <c r="C130" s="189"/>
      <c r="D130" s="189"/>
      <c r="E130" s="189"/>
      <c r="F130" s="189"/>
      <c r="G130" s="1"/>
      <c r="H130" s="1"/>
      <c r="I130" s="1"/>
      <c r="J130" s="1"/>
      <c r="K130" s="1"/>
      <c r="L130" s="1"/>
      <c r="M130" s="1"/>
      <c r="N130" s="1"/>
      <c r="O130" s="1"/>
      <c r="P130" s="1"/>
      <c r="Q130" s="1"/>
      <c r="R130" s="1"/>
      <c r="S130" s="121"/>
      <c r="T130" s="172" t="s">
        <v>84</v>
      </c>
      <c r="U130" s="1"/>
      <c r="V130" s="1"/>
      <c r="W130" s="1"/>
      <c r="X130" s="1"/>
      <c r="Y130" s="1"/>
      <c r="Z130" s="1"/>
      <c r="AA130" s="1"/>
      <c r="AB130" s="163"/>
      <c r="AC130" s="138"/>
      <c r="AD130" s="190"/>
      <c r="AE130" s="164" t="s">
        <v>85</v>
      </c>
      <c r="AF130" s="165"/>
      <c r="AG130" s="165"/>
      <c r="AH130" s="165"/>
      <c r="AI130" s="165"/>
      <c r="AJ130" s="165"/>
      <c r="AK130" s="191">
        <v>0</v>
      </c>
      <c r="AL130" s="191">
        <v>0</v>
      </c>
      <c r="AM130" s="192">
        <f>AK130+AL130</f>
        <v>0</v>
      </c>
      <c r="AQ130" s="1"/>
    </row>
    <row r="131" ht="16.5" customHeight="1" spans="1:43" x14ac:dyDescent="0.25">
      <c r="A131" s="189"/>
      <c r="B131" s="189"/>
      <c r="C131" s="189"/>
      <c r="D131" s="189"/>
      <c r="E131" s="189"/>
      <c r="F131" s="189"/>
      <c r="G131" s="1"/>
      <c r="H131" s="1"/>
      <c r="I131" s="1"/>
      <c r="J131" s="1"/>
      <c r="K131" s="1"/>
      <c r="L131" s="1"/>
      <c r="M131" s="1"/>
      <c r="N131" s="1"/>
      <c r="O131" s="1"/>
      <c r="P131" s="1"/>
      <c r="Q131" s="1"/>
      <c r="R131" s="1"/>
      <c r="S131" s="121"/>
      <c r="T131" s="172" t="s">
        <v>86</v>
      </c>
      <c r="U131" s="1"/>
      <c r="V131" s="1"/>
      <c r="W131" s="1"/>
      <c r="X131" s="1"/>
      <c r="Y131" s="1"/>
      <c r="Z131" s="1"/>
      <c r="AA131" s="1"/>
      <c r="AB131" s="3"/>
      <c r="AC131" s="138"/>
      <c r="AE131" s="164"/>
      <c r="AF131" s="165"/>
      <c r="AG131" s="165"/>
      <c r="AH131" s="165"/>
      <c r="AI131" s="165"/>
      <c r="AJ131" s="165"/>
      <c r="AK131" s="152"/>
      <c r="AL131" s="152"/>
      <c r="AM131" s="153"/>
      <c r="AQ131" s="1"/>
    </row>
    <row r="132" ht="14.25" customHeight="1" spans="1:43" x14ac:dyDescent="0.25">
      <c r="A132" s="120" t="s">
        <v>87</v>
      </c>
      <c r="B132" s="186"/>
      <c r="C132" s="186"/>
      <c r="D132" s="186"/>
      <c r="E132" s="186"/>
      <c r="F132" s="186"/>
      <c r="G132" s="193"/>
      <c r="H132" s="193"/>
      <c r="I132" s="193"/>
      <c r="J132" s="193"/>
      <c r="K132" s="193"/>
      <c r="L132" s="193"/>
      <c r="M132" s="193"/>
      <c r="N132" s="193"/>
      <c r="O132" s="193"/>
      <c r="P132" s="193"/>
      <c r="Q132" s="193"/>
      <c r="R132" s="171"/>
      <c r="S132" s="121"/>
      <c r="T132" s="172" t="s">
        <v>88</v>
      </c>
      <c r="U132" s="1"/>
      <c r="V132" s="1"/>
      <c r="W132" s="1"/>
      <c r="X132" s="1"/>
      <c r="Y132" s="1"/>
      <c r="Z132" s="1"/>
      <c r="AA132" s="1"/>
      <c r="AB132" s="163"/>
      <c r="AC132" s="138"/>
      <c r="AE132" s="194" t="s">
        <v>89</v>
      </c>
      <c r="AF132" s="195"/>
      <c r="AG132" s="195"/>
      <c r="AH132" s="195"/>
      <c r="AI132" s="195"/>
      <c r="AJ132" s="195"/>
      <c r="AK132" s="196">
        <f>COUNTIF(AH13:AI62,"NLS")</f>
        <v>0</v>
      </c>
      <c r="AL132" s="196">
        <f>COUNTIF(AH64:AI113,"NLS")</f>
        <v>0</v>
      </c>
      <c r="AM132" s="167">
        <f>AK132+AL132</f>
        <v>0</v>
      </c>
      <c r="AQ132" s="1"/>
    </row>
    <row r="133" ht="15.75" customHeight="1" spans="1:43" x14ac:dyDescent="0.25">
      <c r="A133" s="158" t="s">
        <v>90</v>
      </c>
      <c r="B133" s="189" t="s">
        <v>91</v>
      </c>
      <c r="C133" s="189"/>
      <c r="D133" s="189"/>
      <c r="E133" s="189"/>
      <c r="F133" s="189"/>
      <c r="G133" s="1"/>
      <c r="H133" s="1"/>
      <c r="I133" s="1"/>
      <c r="J133" s="1"/>
      <c r="K133" s="1"/>
      <c r="L133" s="1"/>
      <c r="M133" s="1"/>
      <c r="N133" s="1"/>
      <c r="O133" s="1"/>
      <c r="P133" s="1"/>
      <c r="Q133" s="1"/>
      <c r="R133" s="120"/>
      <c r="S133" s="121"/>
      <c r="T133" s="172" t="s">
        <v>92</v>
      </c>
      <c r="U133" s="1"/>
      <c r="V133" s="1"/>
      <c r="W133" s="1"/>
      <c r="X133" s="1"/>
      <c r="Y133" s="1"/>
      <c r="Z133" s="1"/>
      <c r="AA133" s="1"/>
      <c r="AB133" s="3"/>
      <c r="AC133" s="138"/>
      <c r="AE133" s="194"/>
      <c r="AF133" s="195"/>
      <c r="AG133" s="195"/>
      <c r="AH133" s="195"/>
      <c r="AI133" s="195"/>
      <c r="AJ133" s="195"/>
      <c r="AK133" s="196"/>
      <c r="AL133" s="196"/>
      <c r="AM133" s="167"/>
      <c r="AQ133" s="1"/>
    </row>
    <row r="134" ht="15.75" customHeight="1" spans="7:43" x14ac:dyDescent="0.25">
      <c r="G134" s="119"/>
      <c r="H134" s="119"/>
      <c r="I134" s="119"/>
      <c r="J134" s="119"/>
      <c r="K134" s="197"/>
      <c r="L134" s="197"/>
      <c r="M134" s="197"/>
      <c r="N134" s="197"/>
      <c r="O134" s="1"/>
      <c r="P134" s="1"/>
      <c r="Q134" s="1"/>
      <c r="R134" s="1"/>
      <c r="S134" s="121"/>
      <c r="T134" s="172" t="s">
        <v>93</v>
      </c>
      <c r="U134" s="1"/>
      <c r="V134" s="1"/>
      <c r="W134" s="1"/>
      <c r="X134" s="1"/>
      <c r="Y134" s="1"/>
      <c r="Z134" s="1"/>
      <c r="AA134" s="1"/>
      <c r="AB134" s="1"/>
      <c r="AC134" s="138"/>
      <c r="AE134" s="194" t="s">
        <v>94</v>
      </c>
      <c r="AF134" s="195"/>
      <c r="AG134" s="195"/>
      <c r="AH134" s="195"/>
      <c r="AI134" s="195"/>
      <c r="AJ134" s="195"/>
      <c r="AK134" s="174">
        <f>COUNTIF(AH13:AI62,"Transferred Out")</f>
        <v>0</v>
      </c>
      <c r="AL134" s="174">
        <f>COUNTIF(AH64:AI113,"Transferred Out")</f>
        <v>0</v>
      </c>
      <c r="AM134" s="157">
        <f>AK134+AL134</f>
        <v>0</v>
      </c>
      <c r="AQ134" s="1"/>
    </row>
    <row r="135" ht="14.25" customHeight="1" spans="2:43" x14ac:dyDescent="0.25">
      <c r="B135" s="119"/>
      <c r="C135" s="119"/>
      <c r="D135" s="119"/>
      <c r="E135" s="119"/>
      <c r="F135" s="119"/>
      <c r="G135" s="119"/>
      <c r="H135" s="119"/>
      <c r="I135" s="119"/>
      <c r="J135" s="119"/>
      <c r="K135" s="1"/>
      <c r="L135" s="1"/>
      <c r="M135" s="1"/>
      <c r="N135" s="1"/>
      <c r="O135" s="1"/>
      <c r="P135" s="1"/>
      <c r="Q135" s="1"/>
      <c r="R135" s="1"/>
      <c r="S135" s="121"/>
      <c r="T135" s="162" t="s">
        <v>95</v>
      </c>
      <c r="U135" s="1"/>
      <c r="V135" s="1"/>
      <c r="W135" s="1"/>
      <c r="X135" s="1"/>
      <c r="Y135" s="1"/>
      <c r="Z135" s="163"/>
      <c r="AA135" s="163"/>
      <c r="AB135" s="163"/>
      <c r="AC135" s="138"/>
      <c r="AE135" s="194"/>
      <c r="AF135" s="195"/>
      <c r="AG135" s="195"/>
      <c r="AH135" s="195"/>
      <c r="AI135" s="195"/>
      <c r="AJ135" s="195"/>
      <c r="AK135" s="174"/>
      <c r="AL135" s="174"/>
      <c r="AM135" s="157"/>
      <c r="AQ135" s="1"/>
    </row>
    <row r="136" ht="15" customHeight="1" spans="2:43" x14ac:dyDescent="0.25">
      <c r="B136" s="198"/>
      <c r="C136" s="198"/>
      <c r="D136" s="198"/>
      <c r="E136" s="198"/>
      <c r="F136" s="198"/>
      <c r="G136" s="1"/>
      <c r="H136" s="1"/>
      <c r="I136" s="1"/>
      <c r="J136" s="1"/>
      <c r="K136" s="1"/>
      <c r="L136" s="1"/>
      <c r="M136" s="1"/>
      <c r="N136" s="1"/>
      <c r="O136" s="1"/>
      <c r="P136" s="1"/>
      <c r="Q136" s="1"/>
      <c r="R136" s="1"/>
      <c r="S136" s="121"/>
      <c r="T136" s="172" t="s">
        <v>96</v>
      </c>
      <c r="U136" s="1"/>
      <c r="V136" s="1"/>
      <c r="W136" s="1"/>
      <c r="X136" s="1"/>
      <c r="Y136" s="1"/>
      <c r="Z136" s="1"/>
      <c r="AA136" s="1"/>
      <c r="AB136" s="1"/>
      <c r="AC136" s="138"/>
      <c r="AD136" s="148"/>
      <c r="AE136" s="194" t="s">
        <v>97</v>
      </c>
      <c r="AF136" s="195"/>
      <c r="AG136" s="195"/>
      <c r="AH136" s="195"/>
      <c r="AI136" s="195"/>
      <c r="AJ136" s="195"/>
      <c r="AK136" s="174">
        <f>COUNTIF(AH13:AI62,"Transferred In")</f>
        <v>0</v>
      </c>
      <c r="AL136" s="174">
        <f>COUNTIF(AH64:AI113,"Transferred In")</f>
        <v>0</v>
      </c>
      <c r="AM136" s="157">
        <f>AK136+AL136</f>
        <v>0</v>
      </c>
      <c r="AQ136" s="1"/>
    </row>
    <row r="137" ht="15.75" customHeight="1" spans="2:43" x14ac:dyDescent="0.25">
      <c r="B137" s="198"/>
      <c r="C137" s="198"/>
      <c r="D137" s="198"/>
      <c r="E137" s="198"/>
      <c r="F137" s="198"/>
      <c r="G137" s="1"/>
      <c r="H137" s="1"/>
      <c r="I137" s="1"/>
      <c r="J137" s="1"/>
      <c r="K137" s="1"/>
      <c r="L137" s="1"/>
      <c r="M137" s="1"/>
      <c r="N137" s="1"/>
      <c r="O137" s="1"/>
      <c r="P137" s="1"/>
      <c r="Q137" s="1"/>
      <c r="R137" s="1"/>
      <c r="S137" s="121"/>
      <c r="T137" s="172" t="s">
        <v>98</v>
      </c>
      <c r="U137" s="1"/>
      <c r="V137" s="1"/>
      <c r="W137" s="1"/>
      <c r="X137" s="1"/>
      <c r="Y137" s="1"/>
      <c r="Z137" s="1"/>
      <c r="AA137" s="1"/>
      <c r="AB137" s="1"/>
      <c r="AC137" s="138"/>
      <c r="AE137" s="199"/>
      <c r="AF137" s="146"/>
      <c r="AG137" s="146"/>
      <c r="AH137" s="146"/>
      <c r="AI137" s="146"/>
      <c r="AJ137" s="146"/>
      <c r="AK137" s="200"/>
      <c r="AL137" s="200"/>
      <c r="AM137" s="201"/>
      <c r="AQ137" s="1"/>
    </row>
    <row r="138" ht="14.25" customHeight="1" spans="2:43" x14ac:dyDescent="0.25">
      <c r="B138" s="3"/>
      <c r="C138" s="3"/>
      <c r="D138" s="3"/>
      <c r="E138" s="3"/>
      <c r="F138" s="3"/>
      <c r="G138" s="1"/>
      <c r="H138" s="1"/>
      <c r="I138" s="1"/>
      <c r="J138" s="1"/>
      <c r="K138" s="1"/>
      <c r="L138" s="1"/>
      <c r="M138" s="1"/>
      <c r="N138" s="1"/>
      <c r="O138" s="1"/>
      <c r="P138" s="1"/>
      <c r="Q138" s="1"/>
      <c r="R138" s="1"/>
      <c r="S138" s="121"/>
      <c r="T138" s="172" t="s">
        <v>99</v>
      </c>
      <c r="U138" s="1"/>
      <c r="V138" s="1"/>
      <c r="W138" s="1"/>
      <c r="X138" s="1"/>
      <c r="Y138" s="1"/>
      <c r="Z138" s="1"/>
      <c r="AA138" s="1"/>
      <c r="AB138" s="1"/>
      <c r="AC138" s="138"/>
      <c r="AQ138" s="1"/>
    </row>
    <row r="139" spans="2:43" x14ac:dyDescent="0.25">
      <c r="B139" s="3"/>
      <c r="C139" s="3"/>
      <c r="D139" s="3"/>
      <c r="E139" s="3"/>
      <c r="F139" s="3"/>
      <c r="G139" s="3"/>
      <c r="H139" s="3"/>
      <c r="I139" s="3"/>
      <c r="J139" s="3"/>
      <c r="K139" s="1"/>
      <c r="L139" s="1"/>
      <c r="M139" s="1"/>
      <c r="N139" s="1"/>
      <c r="O139" s="1"/>
      <c r="P139" s="1"/>
      <c r="Q139" s="1"/>
      <c r="R139" s="1"/>
      <c r="S139" s="121"/>
      <c r="T139" s="162" t="s">
        <v>100</v>
      </c>
      <c r="U139" s="1"/>
      <c r="V139" s="1"/>
      <c r="W139" s="1"/>
      <c r="X139" s="1"/>
      <c r="Y139" s="1"/>
      <c r="Z139" s="1"/>
      <c r="AA139" s="1"/>
      <c r="AB139" s="1"/>
      <c r="AC139" s="138"/>
      <c r="AE139" s="202" t="s">
        <v>101</v>
      </c>
      <c r="AM139" s="203"/>
      <c r="AQ139" s="1"/>
    </row>
    <row r="140" spans="2:43" x14ac:dyDescent="0.25">
      <c r="B140" s="204"/>
      <c r="C140" s="204"/>
      <c r="D140" s="204"/>
      <c r="E140" s="204"/>
      <c r="F140" s="204"/>
      <c r="G140" s="3"/>
      <c r="H140" s="3"/>
      <c r="I140" s="3"/>
      <c r="J140" s="3"/>
      <c r="K140" s="1"/>
      <c r="L140" s="1"/>
      <c r="M140" s="1"/>
      <c r="N140" s="1"/>
      <c r="O140" s="1"/>
      <c r="P140" s="1"/>
      <c r="Q140" s="1"/>
      <c r="R140" s="1"/>
      <c r="S140" s="121"/>
      <c r="T140" s="172" t="s">
        <v>102</v>
      </c>
      <c r="U140" s="1"/>
      <c r="V140" s="1"/>
      <c r="W140" s="1"/>
      <c r="X140" s="1"/>
      <c r="Y140" s="1"/>
      <c r="Z140" s="1"/>
      <c r="AA140" s="1"/>
      <c r="AB140" s="1"/>
      <c r="AC140" s="138"/>
      <c r="AE140" s="205"/>
      <c r="AF140" s="205"/>
      <c r="AG140" s="205"/>
      <c r="AH140" s="205"/>
      <c r="AI140" s="205"/>
      <c r="AJ140" s="205"/>
      <c r="AK140" s="205"/>
      <c r="AL140" s="205"/>
      <c r="AM140" s="205"/>
      <c r="AQ140" s="1"/>
    </row>
    <row r="141" ht="12" customHeight="1" spans="2:43" x14ac:dyDescent="0.25">
      <c r="B141" s="204"/>
      <c r="C141" s="204"/>
      <c r="D141" s="204"/>
      <c r="E141" s="204"/>
      <c r="F141" s="204"/>
      <c r="G141" s="1"/>
      <c r="H141" s="1"/>
      <c r="I141" s="1"/>
      <c r="J141" s="1"/>
      <c r="K141" s="1"/>
      <c r="L141" s="1"/>
      <c r="M141" s="1"/>
      <c r="N141" s="1"/>
      <c r="O141" s="1"/>
      <c r="P141" s="1"/>
      <c r="Q141" s="1"/>
      <c r="R141" s="1"/>
      <c r="S141" s="121"/>
      <c r="T141" s="206" t="s">
        <v>103</v>
      </c>
      <c r="U141" s="1"/>
      <c r="V141" s="1"/>
      <c r="W141" s="1"/>
      <c r="X141" s="1"/>
      <c r="Y141" s="1"/>
      <c r="Z141" s="1"/>
      <c r="AA141" s="1"/>
      <c r="AB141" s="1"/>
      <c r="AC141" s="207"/>
      <c r="AE141" s="97"/>
      <c r="AF141" s="97"/>
      <c r="AG141" s="97"/>
      <c r="AH141" s="97"/>
      <c r="AI141" s="97"/>
      <c r="AJ141" s="97"/>
      <c r="AK141" s="97"/>
      <c r="AL141" s="97"/>
      <c r="AM141" s="97"/>
      <c r="AQ141" s="1"/>
    </row>
    <row r="142" spans="2:43" x14ac:dyDescent="0.25">
      <c r="B142" s="204"/>
      <c r="C142" s="204"/>
      <c r="D142" s="204"/>
      <c r="E142" s="204"/>
      <c r="F142" s="204"/>
      <c r="G142" s="1"/>
      <c r="H142" s="1"/>
      <c r="I142" s="1"/>
      <c r="J142" s="1"/>
      <c r="K142" s="1"/>
      <c r="L142" s="1"/>
      <c r="M142" s="1"/>
      <c r="N142" s="1"/>
      <c r="O142" s="1"/>
      <c r="P142" s="1"/>
      <c r="Q142" s="1"/>
      <c r="R142" s="1"/>
      <c r="S142" s="121"/>
      <c r="T142" s="1"/>
      <c r="U142" s="1"/>
      <c r="V142" s="1"/>
      <c r="W142" s="1"/>
      <c r="X142" s="1"/>
      <c r="Y142" s="1"/>
      <c r="Z142" s="1"/>
      <c r="AA142" s="1"/>
      <c r="AB142" s="1"/>
      <c r="AC142" s="207"/>
      <c r="AE142" s="208" t="s">
        <v>104</v>
      </c>
      <c r="AF142" s="208"/>
      <c r="AG142" s="208"/>
      <c r="AH142" s="208"/>
      <c r="AI142" s="208"/>
      <c r="AJ142" s="208"/>
      <c r="AK142" s="208"/>
      <c r="AL142" s="208"/>
      <c r="AM142" s="208"/>
      <c r="AQ142" s="1"/>
    </row>
    <row r="143" spans="2:43" x14ac:dyDescent="0.25">
      <c r="B143" s="204"/>
      <c r="C143" s="204"/>
      <c r="D143" s="204"/>
      <c r="E143" s="204"/>
      <c r="F143" s="204"/>
      <c r="G143" s="1"/>
      <c r="H143" s="1"/>
      <c r="I143" s="1"/>
      <c r="J143" s="1"/>
      <c r="K143" s="1"/>
      <c r="L143" s="1"/>
      <c r="M143" s="1"/>
      <c r="N143" s="1"/>
      <c r="O143" s="1"/>
      <c r="P143" s="1"/>
      <c r="Q143" s="1"/>
      <c r="R143" s="1"/>
      <c r="S143" s="1"/>
      <c r="T143" s="172" t="s">
        <v>105</v>
      </c>
      <c r="U143" s="1"/>
      <c r="V143" s="1"/>
      <c r="W143" s="1"/>
      <c r="X143" s="1"/>
      <c r="Y143" s="1"/>
      <c r="Z143" s="1"/>
      <c r="AA143" s="1"/>
      <c r="AB143" s="1"/>
      <c r="AC143" s="209"/>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2" t="s">
        <v>106</v>
      </c>
      <c r="U144" s="1"/>
      <c r="V144" s="1"/>
      <c r="W144" s="1"/>
      <c r="X144" s="1"/>
      <c r="Y144" s="1"/>
      <c r="Z144" s="1"/>
      <c r="AA144" s="1"/>
      <c r="AB144" s="1"/>
      <c r="AC144" s="209"/>
      <c r="AE144" s="1" t="s">
        <v>107</v>
      </c>
      <c r="AG144" s="202"/>
      <c r="AH144" s="202"/>
      <c r="AI144" s="202"/>
      <c r="AJ144" s="202"/>
      <c r="AK144" s="202"/>
      <c r="AL144" s="202"/>
      <c r="AQ144" s="1"/>
    </row>
    <row r="145" ht="27.65" customHeight="1" spans="1:43" x14ac:dyDescent="0.25">
      <c r="A145" s="210"/>
      <c r="B145" s="210"/>
      <c r="C145" s="210"/>
      <c r="D145" s="210"/>
      <c r="E145" s="210"/>
      <c r="F145" s="210"/>
      <c r="G145" s="1"/>
      <c r="H145" s="1"/>
      <c r="I145" s="1"/>
      <c r="J145" s="1"/>
      <c r="K145" s="1"/>
      <c r="L145" s="1"/>
      <c r="M145" s="1"/>
      <c r="N145" s="1"/>
      <c r="O145" s="1"/>
      <c r="P145" s="1"/>
      <c r="Q145" s="1"/>
      <c r="R145" s="1"/>
      <c r="S145" s="1"/>
      <c r="T145" s="172" t="s">
        <v>108</v>
      </c>
      <c r="U145" s="1"/>
      <c r="V145" s="1"/>
      <c r="W145" s="1"/>
      <c r="X145" s="1"/>
      <c r="Y145" s="1"/>
      <c r="Z145" s="1"/>
      <c r="AA145" s="1"/>
      <c r="AB145" s="1"/>
      <c r="AC145" s="209"/>
      <c r="AE145" s="97"/>
      <c r="AF145" s="97"/>
      <c r="AG145" s="97"/>
      <c r="AH145" s="97"/>
      <c r="AI145" s="97"/>
      <c r="AJ145" s="97"/>
      <c r="AK145" s="97"/>
      <c r="AL145" s="97"/>
      <c r="AM145" s="97"/>
      <c r="AQ145" s="1"/>
    </row>
    <row r="146" ht="14.25" customHeight="1" spans="1:43" x14ac:dyDescent="0.25">
      <c r="A146" s="210"/>
      <c r="B146" s="210"/>
      <c r="C146" s="210"/>
      <c r="D146" s="210"/>
      <c r="E146" s="210"/>
      <c r="F146" s="210"/>
      <c r="G146" s="1"/>
      <c r="H146" s="1"/>
      <c r="I146" s="1"/>
      <c r="J146" s="1"/>
      <c r="K146" s="1"/>
      <c r="L146" s="1"/>
      <c r="M146" s="1"/>
      <c r="N146" s="1"/>
      <c r="O146" s="1"/>
      <c r="P146" s="1"/>
      <c r="Q146" s="1"/>
      <c r="R146" s="1"/>
      <c r="S146" s="1"/>
      <c r="T146" s="211" t="s">
        <v>109</v>
      </c>
      <c r="U146" s="212"/>
      <c r="V146" s="212"/>
      <c r="W146" s="212"/>
      <c r="X146" s="212"/>
      <c r="Y146" s="212"/>
      <c r="Z146" s="212"/>
      <c r="AA146" s="212"/>
      <c r="AB146" s="212"/>
      <c r="AC146" s="213"/>
      <c r="AE146" s="208" t="s">
        <v>110</v>
      </c>
      <c r="AF146" s="208"/>
      <c r="AG146" s="208"/>
      <c r="AH146" s="208"/>
      <c r="AI146" s="208"/>
      <c r="AJ146" s="208"/>
      <c r="AK146" s="208"/>
      <c r="AL146" s="208"/>
      <c r="AM146" s="208"/>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1"/>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1"/>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1"/>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1"/>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1"/>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1"/>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1"/>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1"/>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1"/>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1"/>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1"/>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1"/>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1"/>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1"/>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1"/>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1"/>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1"/>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1"/>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1"/>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1"/>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1"/>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1"/>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1"/>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1"/>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1"/>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1"/>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1"/>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1"/>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1"/>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1"/>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1"/>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1"/>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1"/>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1"/>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1"/>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1"/>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1"/>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1"/>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1"/>
    </row>
    <row r="55" ht="21.9" customHeight="1" spans="1:43" x14ac:dyDescent="0.25">
      <c r="A55" s="62">
        <v>43</v>
      </c>
      <c r="B55" s="77"/>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1"/>
    </row>
    <row r="56" ht="21.9" customHeight="1" spans="1:43" x14ac:dyDescent="0.25">
      <c r="A56" s="62">
        <v>44</v>
      </c>
      <c r="B56" s="77"/>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1"/>
    </row>
    <row r="57" ht="21.9" customHeight="1" spans="1:43" x14ac:dyDescent="0.25">
      <c r="A57" s="62">
        <v>45</v>
      </c>
      <c r="B57" s="77"/>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1"/>
    </row>
    <row r="58" ht="21.9" customHeight="1" spans="1:43" x14ac:dyDescent="0.25">
      <c r="A58" s="62">
        <v>46</v>
      </c>
      <c r="B58" s="77"/>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1"/>
    </row>
    <row r="59" ht="21.9" customHeight="1" spans="1:43" x14ac:dyDescent="0.25">
      <c r="A59" s="62">
        <v>47</v>
      </c>
      <c r="B59" s="77"/>
      <c r="C59" s="78"/>
      <c r="D59" s="78"/>
      <c r="E59" s="78"/>
      <c r="F59" s="78"/>
      <c r="G59" s="79"/>
      <c r="H59" s="80"/>
      <c r="I59" s="80"/>
      <c r="J59" s="80"/>
      <c r="K59" s="81"/>
      <c r="L59" s="82"/>
      <c r="M59" s="80"/>
      <c r="N59" s="80"/>
      <c r="O59" s="80"/>
      <c r="P59" s="83"/>
      <c r="Q59" s="79"/>
      <c r="R59" s="80"/>
      <c r="S59" s="80"/>
      <c r="T59" s="80"/>
      <c r="U59" s="81"/>
      <c r="V59" s="82"/>
      <c r="W59" s="80"/>
      <c r="X59" s="80"/>
      <c r="Y59" s="80"/>
      <c r="Z59" s="83"/>
      <c r="AA59" s="79"/>
      <c r="AB59" s="80"/>
      <c r="AC59" s="80"/>
      <c r="AD59" s="83"/>
      <c r="AE59" s="81"/>
      <c r="AF59" s="72">
        <f t="shared" si="2"/>
      </c>
      <c r="AG59" s="73">
        <f t="shared" si="3"/>
      </c>
      <c r="AH59" s="74"/>
      <c r="AI59" s="75"/>
      <c r="AJ59" s="75"/>
      <c r="AK59" s="75"/>
      <c r="AL59" s="75"/>
      <c r="AM59" s="76"/>
      <c r="AQ59" s="1"/>
    </row>
    <row r="60" ht="21.9" customHeight="1" spans="1:43" x14ac:dyDescent="0.25">
      <c r="A60" s="62">
        <v>48</v>
      </c>
      <c r="B60" s="77"/>
      <c r="C60" s="78"/>
      <c r="D60" s="78"/>
      <c r="E60" s="78"/>
      <c r="F60" s="78"/>
      <c r="G60" s="79"/>
      <c r="H60" s="80"/>
      <c r="I60" s="80"/>
      <c r="J60" s="80"/>
      <c r="K60" s="81"/>
      <c r="L60" s="82"/>
      <c r="M60" s="80"/>
      <c r="N60" s="80"/>
      <c r="O60" s="80"/>
      <c r="P60" s="83"/>
      <c r="Q60" s="79"/>
      <c r="R60" s="80"/>
      <c r="S60" s="80"/>
      <c r="T60" s="80"/>
      <c r="U60" s="81"/>
      <c r="V60" s="82"/>
      <c r="W60" s="80"/>
      <c r="X60" s="80"/>
      <c r="Y60" s="80"/>
      <c r="Z60" s="83"/>
      <c r="AA60" s="79"/>
      <c r="AB60" s="80"/>
      <c r="AC60" s="80"/>
      <c r="AD60" s="83"/>
      <c r="AE60" s="81"/>
      <c r="AF60" s="72">
        <f t="shared" si="2"/>
      </c>
      <c r="AG60" s="73">
        <f t="shared" si="3"/>
      </c>
      <c r="AH60" s="74"/>
      <c r="AI60" s="75"/>
      <c r="AJ60" s="75"/>
      <c r="AK60" s="75"/>
      <c r="AL60" s="75"/>
      <c r="AM60" s="76"/>
      <c r="AQ60" s="1"/>
    </row>
    <row r="61" ht="21.9" customHeight="1" spans="1:43" x14ac:dyDescent="0.25">
      <c r="A61" s="62">
        <v>49</v>
      </c>
      <c r="B61" s="77"/>
      <c r="C61" s="78"/>
      <c r="D61" s="78"/>
      <c r="E61" s="78"/>
      <c r="F61" s="78"/>
      <c r="G61" s="79"/>
      <c r="H61" s="80"/>
      <c r="I61" s="80"/>
      <c r="J61" s="80"/>
      <c r="K61" s="81"/>
      <c r="L61" s="82"/>
      <c r="M61" s="80"/>
      <c r="N61" s="80"/>
      <c r="O61" s="80"/>
      <c r="P61" s="83"/>
      <c r="Q61" s="79"/>
      <c r="R61" s="80"/>
      <c r="S61" s="80"/>
      <c r="T61" s="80"/>
      <c r="U61" s="81"/>
      <c r="V61" s="82"/>
      <c r="W61" s="80"/>
      <c r="X61" s="80"/>
      <c r="Y61" s="80"/>
      <c r="Z61" s="83"/>
      <c r="AA61" s="79"/>
      <c r="AB61" s="80"/>
      <c r="AC61" s="80"/>
      <c r="AD61" s="83"/>
      <c r="AE61" s="81"/>
      <c r="AF61" s="72">
        <f t="shared" si="2"/>
      </c>
      <c r="AG61" s="73">
        <f t="shared" si="3"/>
      </c>
      <c r="AH61" s="74"/>
      <c r="AI61" s="75"/>
      <c r="AJ61" s="75"/>
      <c r="AK61" s="75"/>
      <c r="AL61" s="75"/>
      <c r="AM61" s="76"/>
      <c r="AQ61" s="1"/>
    </row>
    <row r="62" ht="21.9" customHeight="1" spans="1:43" x14ac:dyDescent="0.25">
      <c r="A62" s="79">
        <v>50</v>
      </c>
      <c r="B62" s="84"/>
      <c r="C62" s="78"/>
      <c r="D62" s="78"/>
      <c r="E62" s="78"/>
      <c r="F62" s="78"/>
      <c r="G62" s="79"/>
      <c r="H62" s="80"/>
      <c r="I62" s="80"/>
      <c r="J62" s="80"/>
      <c r="K62" s="81"/>
      <c r="L62" s="82"/>
      <c r="M62" s="80"/>
      <c r="N62" s="80"/>
      <c r="O62" s="80"/>
      <c r="P62" s="83"/>
      <c r="Q62" s="79"/>
      <c r="R62" s="80"/>
      <c r="S62" s="80"/>
      <c r="T62" s="80"/>
      <c r="U62" s="81"/>
      <c r="V62" s="82"/>
      <c r="W62" s="80"/>
      <c r="X62" s="80"/>
      <c r="Y62" s="80"/>
      <c r="Z62" s="83"/>
      <c r="AA62" s="79"/>
      <c r="AB62" s="80"/>
      <c r="AC62" s="80"/>
      <c r="AD62" s="83"/>
      <c r="AE62" s="81"/>
      <c r="AF62" s="72">
        <f t="shared" si="2"/>
      </c>
      <c r="AG62" s="73">
        <f t="shared" si="3"/>
      </c>
      <c r="AH62" s="74"/>
      <c r="AI62" s="75"/>
      <c r="AJ62" s="85"/>
      <c r="AK62" s="85"/>
      <c r="AL62" s="85"/>
      <c r="AM62" s="86"/>
      <c r="AQ62" s="1"/>
    </row>
    <row r="63" ht="21.9" customHeight="1" spans="1:43" x14ac:dyDescent="0.25">
      <c r="A63" s="87"/>
      <c r="B63" s="88" t="s">
        <v>36</v>
      </c>
      <c r="C63" s="88"/>
      <c r="D63" s="88"/>
      <c r="E63" s="88"/>
      <c r="F63" s="88"/>
      <c r="G63" s="89">
        <f t="shared" ref="G63:AE63" si="4">IF(G10="","",COUNTA($B$13:$B$62)-(COUNTIF(G13:G62,"x")*1+COUNTIF(G13:G62,"h")*0.5))</f>
      </c>
      <c r="H63" s="90">
        <f t="shared" si="4"/>
      </c>
      <c r="I63" s="90">
        <f t="shared" si="4"/>
      </c>
      <c r="J63" s="90">
        <f t="shared" si="4"/>
      </c>
      <c r="K63" s="91">
        <f t="shared" si="4"/>
        <v>0</v>
      </c>
      <c r="L63" s="89">
        <f t="shared" si="4"/>
        <v>0</v>
      </c>
      <c r="M63" s="90">
        <f t="shared" si="4"/>
        <v>0</v>
      </c>
      <c r="N63" s="90">
        <f t="shared" si="4"/>
        <v>0</v>
      </c>
      <c r="O63" s="90">
        <f t="shared" si="4"/>
        <v>0</v>
      </c>
      <c r="P63" s="91">
        <f t="shared" si="4"/>
        <v>0</v>
      </c>
      <c r="Q63" s="89">
        <f t="shared" si="4"/>
        <v>0</v>
      </c>
      <c r="R63" s="90">
        <f t="shared" si="4"/>
        <v>0</v>
      </c>
      <c r="S63" s="90">
        <f t="shared" si="4"/>
        <v>0</v>
      </c>
      <c r="T63" s="90">
        <f t="shared" si="4"/>
        <v>0</v>
      </c>
      <c r="U63" s="91">
        <f t="shared" si="4"/>
        <v>0</v>
      </c>
      <c r="V63" s="89">
        <f t="shared" si="4"/>
        <v>0</v>
      </c>
      <c r="W63" s="90">
        <f t="shared" si="4"/>
        <v>0</v>
      </c>
      <c r="X63" s="90">
        <f t="shared" si="4"/>
        <v>0</v>
      </c>
      <c r="Y63" s="90">
        <f t="shared" si="4"/>
        <v>0</v>
      </c>
      <c r="Z63" s="91">
        <f t="shared" si="4"/>
        <v>0</v>
      </c>
      <c r="AA63" s="89">
        <f t="shared" si="4"/>
        <v>0</v>
      </c>
      <c r="AB63" s="90">
        <f t="shared" si="4"/>
        <v>0</v>
      </c>
      <c r="AC63" s="90">
        <f t="shared" si="4"/>
        <v>0</v>
      </c>
      <c r="AD63" s="90">
        <f t="shared" si="4"/>
        <v>0</v>
      </c>
      <c r="AE63" s="91">
        <f t="shared" si="4"/>
        <v>0</v>
      </c>
      <c r="AF63" s="92">
        <f>SUM(AF13:AF62)</f>
        <v>0</v>
      </c>
      <c r="AG63" s="93">
        <f>SUM(AG13:AG62)</f>
        <v>0</v>
      </c>
      <c r="AH63" s="94"/>
      <c r="AI63" s="95"/>
      <c r="AJ63" s="95"/>
      <c r="AK63" s="95"/>
      <c r="AL63" s="95"/>
      <c r="AM63" s="96"/>
      <c r="AQ63" s="1"/>
    </row>
    <row r="64" ht="21.9" customHeight="1" spans="1:43" x14ac:dyDescent="0.25">
      <c r="A64" s="62">
        <v>1</v>
      </c>
      <c r="B64" s="63" t="s">
        <v>37</v>
      </c>
      <c r="C64" s="97"/>
      <c r="D64" s="97"/>
      <c r="E64" s="97"/>
      <c r="F64" s="97"/>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6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6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6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6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6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1"/>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1"/>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1"/>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1"/>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1"/>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1"/>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1"/>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1"/>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1"/>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1"/>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1"/>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1"/>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1"/>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1"/>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1"/>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1"/>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1"/>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1"/>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1"/>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1"/>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1"/>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1"/>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1"/>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1"/>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1"/>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1"/>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1"/>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1"/>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1"/>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1"/>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1"/>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1"/>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1"/>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1"/>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1"/>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1"/>
    </row>
    <row r="105" ht="21.9" customHeight="1" spans="1:43" x14ac:dyDescent="0.25">
      <c r="A105" s="62">
        <v>42</v>
      </c>
      <c r="B105" s="77"/>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1"/>
    </row>
    <row r="106" ht="21.9" customHeight="1" spans="1:43" x14ac:dyDescent="0.25">
      <c r="A106" s="62">
        <v>43</v>
      </c>
      <c r="B106" s="77"/>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1"/>
    </row>
    <row r="107" ht="21.9" customHeight="1" spans="1:43" x14ac:dyDescent="0.25">
      <c r="A107" s="62">
        <v>44</v>
      </c>
      <c r="B107" s="77"/>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1"/>
    </row>
    <row r="108" ht="21.9" customHeight="1" spans="1:43" x14ac:dyDescent="0.25">
      <c r="A108" s="62">
        <v>45</v>
      </c>
      <c r="B108" s="77"/>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1"/>
    </row>
    <row r="109" ht="21.9" customHeight="1" spans="1:43" x14ac:dyDescent="0.25">
      <c r="A109" s="62">
        <v>46</v>
      </c>
      <c r="B109" s="77"/>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1"/>
    </row>
    <row r="110" ht="21.9" customHeight="1" spans="1:43" x14ac:dyDescent="0.25">
      <c r="A110" s="62">
        <v>47</v>
      </c>
      <c r="B110" s="77"/>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1"/>
    </row>
    <row r="111" ht="21.9" customHeight="1" spans="1:43" x14ac:dyDescent="0.25">
      <c r="A111" s="62">
        <v>48</v>
      </c>
      <c r="B111" s="77"/>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1"/>
    </row>
    <row r="112" ht="21.9" customHeight="1" spans="1:43" x14ac:dyDescent="0.25">
      <c r="A112" s="62">
        <v>49</v>
      </c>
      <c r="B112" s="77"/>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1"/>
    </row>
    <row r="113" ht="21.9" customHeight="1" spans="1:43" x14ac:dyDescent="0.25">
      <c r="A113" s="79">
        <v>50</v>
      </c>
      <c r="B113" s="84"/>
      <c r="C113" s="78"/>
      <c r="D113" s="78"/>
      <c r="E113" s="78"/>
      <c r="F113" s="78"/>
      <c r="G113" s="79"/>
      <c r="H113" s="80"/>
      <c r="I113" s="80"/>
      <c r="J113" s="80"/>
      <c r="K113" s="81"/>
      <c r="L113" s="82"/>
      <c r="M113" s="80"/>
      <c r="N113" s="80"/>
      <c r="O113" s="80"/>
      <c r="P113" s="83"/>
      <c r="Q113" s="79"/>
      <c r="R113" s="80"/>
      <c r="S113" s="80"/>
      <c r="T113" s="80"/>
      <c r="U113" s="81"/>
      <c r="V113" s="82"/>
      <c r="W113" s="80"/>
      <c r="X113" s="80"/>
      <c r="Y113" s="80"/>
      <c r="Z113" s="83"/>
      <c r="AA113" s="79"/>
      <c r="AB113" s="80"/>
      <c r="AC113" s="80"/>
      <c r="AD113" s="83"/>
      <c r="AE113" s="81"/>
      <c r="AF113" s="98">
        <f t="shared" si="7"/>
      </c>
      <c r="AG113" s="99">
        <f t="shared" si="8"/>
      </c>
      <c r="AH113" s="100"/>
      <c r="AI113" s="85"/>
      <c r="AJ113" s="85"/>
      <c r="AK113" s="85"/>
      <c r="AL113" s="85"/>
      <c r="AM113" s="86"/>
      <c r="AQ113" s="1"/>
    </row>
    <row r="114" ht="21.9" customHeight="1" spans="1:43" x14ac:dyDescent="0.25">
      <c r="A114" s="101" t="s">
        <v>42</v>
      </c>
      <c r="B114" s="88"/>
      <c r="C114" s="88"/>
      <c r="D114" s="88"/>
      <c r="E114" s="88"/>
      <c r="F114" s="88"/>
      <c r="G114" s="102">
        <f t="shared" ref="G114:AE114" si="9">IF(G10="","",COUNTA($B$64:$B$113)-(COUNTIF(G64:G113,"x")+COUNTIF(G64:G113,"h")*0.5))</f>
      </c>
      <c r="H114" s="90">
        <f t="shared" si="9"/>
      </c>
      <c r="I114" s="90">
        <f t="shared" si="9"/>
      </c>
      <c r="J114" s="90">
        <f t="shared" si="9"/>
      </c>
      <c r="K114" s="91">
        <f t="shared" si="9"/>
        <v>0</v>
      </c>
      <c r="L114" s="102">
        <f t="shared" si="9"/>
        <v>0</v>
      </c>
      <c r="M114" s="90">
        <f t="shared" si="9"/>
        <v>0</v>
      </c>
      <c r="N114" s="90">
        <f t="shared" si="9"/>
        <v>0</v>
      </c>
      <c r="O114" s="90">
        <f t="shared" si="9"/>
        <v>0</v>
      </c>
      <c r="P114" s="91">
        <f t="shared" si="9"/>
        <v>0</v>
      </c>
      <c r="Q114" s="102">
        <f t="shared" si="9"/>
        <v>0</v>
      </c>
      <c r="R114" s="90">
        <f t="shared" si="9"/>
        <v>0</v>
      </c>
      <c r="S114" s="90">
        <f t="shared" si="9"/>
        <v>0</v>
      </c>
      <c r="T114" s="90">
        <f t="shared" si="9"/>
        <v>0</v>
      </c>
      <c r="U114" s="91">
        <f t="shared" si="9"/>
        <v>0</v>
      </c>
      <c r="V114" s="102">
        <f t="shared" si="9"/>
        <v>0</v>
      </c>
      <c r="W114" s="90">
        <f t="shared" si="9"/>
        <v>0</v>
      </c>
      <c r="X114" s="90">
        <f t="shared" si="9"/>
        <v>0</v>
      </c>
      <c r="Y114" s="90">
        <f t="shared" si="9"/>
        <v>0</v>
      </c>
      <c r="Z114" s="91">
        <f t="shared" si="9"/>
        <v>0</v>
      </c>
      <c r="AA114" s="102">
        <f t="shared" si="9"/>
        <v>0</v>
      </c>
      <c r="AB114" s="90">
        <f t="shared" si="9"/>
        <v>0</v>
      </c>
      <c r="AC114" s="90">
        <f t="shared" si="9"/>
        <v>0</v>
      </c>
      <c r="AD114" s="90">
        <f t="shared" si="9"/>
        <v>0</v>
      </c>
      <c r="AE114" s="91">
        <f t="shared" si="9"/>
        <v>0</v>
      </c>
      <c r="AF114" s="92">
        <f>SUM(AF64:AF113)</f>
        <v>0</v>
      </c>
      <c r="AG114" s="93">
        <f>SUM(AG64:AG113)</f>
        <v>0</v>
      </c>
      <c r="AH114" s="103"/>
      <c r="AI114" s="104"/>
      <c r="AJ114" s="104"/>
      <c r="AK114" s="104"/>
      <c r="AL114" s="104"/>
      <c r="AM114" s="105"/>
      <c r="AQ114" s="1"/>
    </row>
    <row r="115" ht="21.9" customHeight="1" spans="1:43" x14ac:dyDescent="0.25">
      <c r="A115" s="106" t="s">
        <v>43</v>
      </c>
      <c r="B115" s="106"/>
      <c r="C115" s="107"/>
      <c r="D115" s="107"/>
      <c r="E115" s="107"/>
      <c r="F115" s="107"/>
      <c r="G115" s="108">
        <f t="shared" ref="G115:AE115" si="10">IF(G10="","",G63+G114)</f>
      </c>
      <c r="H115" s="109">
        <f t="shared" si="10"/>
      </c>
      <c r="I115" s="109">
        <f t="shared" si="10"/>
      </c>
      <c r="J115" s="109">
        <f t="shared" si="10"/>
      </c>
      <c r="K115" s="110">
        <f t="shared" si="10"/>
        <v>0</v>
      </c>
      <c r="L115" s="108">
        <f t="shared" si="10"/>
        <v>0</v>
      </c>
      <c r="M115" s="109">
        <f t="shared" si="10"/>
        <v>0</v>
      </c>
      <c r="N115" s="109">
        <f t="shared" si="10"/>
        <v>0</v>
      </c>
      <c r="O115" s="109">
        <f t="shared" si="10"/>
        <v>0</v>
      </c>
      <c r="P115" s="110">
        <f t="shared" si="10"/>
        <v>0</v>
      </c>
      <c r="Q115" s="108">
        <f t="shared" si="10"/>
        <v>0</v>
      </c>
      <c r="R115" s="109">
        <f t="shared" si="10"/>
        <v>0</v>
      </c>
      <c r="S115" s="109">
        <f t="shared" si="10"/>
        <v>0</v>
      </c>
      <c r="T115" s="109">
        <f t="shared" si="10"/>
        <v>0</v>
      </c>
      <c r="U115" s="110">
        <f t="shared" si="10"/>
        <v>0</v>
      </c>
      <c r="V115" s="108">
        <f t="shared" si="10"/>
        <v>0</v>
      </c>
      <c r="W115" s="109">
        <f t="shared" si="10"/>
        <v>0</v>
      </c>
      <c r="X115" s="109">
        <f t="shared" si="10"/>
        <v>0</v>
      </c>
      <c r="Y115" s="109">
        <f t="shared" si="10"/>
        <v>0</v>
      </c>
      <c r="Z115" s="110">
        <f t="shared" si="10"/>
        <v>0</v>
      </c>
      <c r="AA115" s="108">
        <f t="shared" si="10"/>
        <v>0</v>
      </c>
      <c r="AB115" s="109">
        <f t="shared" si="10"/>
        <v>0</v>
      </c>
      <c r="AC115" s="109">
        <f t="shared" si="10"/>
        <v>0</v>
      </c>
      <c r="AD115" s="109">
        <f t="shared" si="10"/>
        <v>0</v>
      </c>
      <c r="AE115" s="110">
        <f t="shared" si="10"/>
        <v>0</v>
      </c>
      <c r="AF115" s="111">
        <f>AF63+AF114</f>
        <v>0</v>
      </c>
      <c r="AG115" s="112">
        <f>AG63+AG114</f>
        <v>0</v>
      </c>
      <c r="AH115" s="113"/>
      <c r="AI115" s="114"/>
      <c r="AJ115" s="114"/>
      <c r="AK115" s="114"/>
      <c r="AL115" s="114"/>
      <c r="AM115" s="115"/>
      <c r="AQ115" s="1"/>
    </row>
    <row r="116" ht="6.75" customHeight="1" spans="1:43" x14ac:dyDescent="0.25">
      <c r="A116" s="116"/>
      <c r="B116" s="116"/>
      <c r="C116" s="116"/>
      <c r="D116" s="116"/>
      <c r="E116" s="116"/>
      <c r="F116" s="116"/>
      <c r="G116" s="117"/>
      <c r="H116" s="117"/>
      <c r="I116" s="117"/>
      <c r="J116" s="117"/>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18" t="s">
        <v>44</v>
      </c>
      <c r="B117" s="119"/>
      <c r="C117" s="119"/>
      <c r="D117" s="119"/>
      <c r="E117" s="119"/>
      <c r="F117" s="119"/>
      <c r="G117" s="120"/>
      <c r="H117" s="120"/>
      <c r="I117" s="120"/>
      <c r="J117" s="120"/>
      <c r="K117" s="120"/>
      <c r="L117" s="120"/>
      <c r="M117" s="120"/>
      <c r="N117" s="120"/>
      <c r="O117" s="120"/>
      <c r="P117" s="120"/>
      <c r="Q117" s="120"/>
      <c r="R117" s="120"/>
      <c r="S117" s="121"/>
      <c r="T117" s="122" t="s">
        <v>45</v>
      </c>
      <c r="U117" s="123"/>
      <c r="V117" s="123"/>
      <c r="W117" s="123"/>
      <c r="X117" s="123"/>
      <c r="Y117" s="124"/>
      <c r="Z117" s="124"/>
      <c r="AA117" s="124"/>
      <c r="AB117" s="125"/>
      <c r="AC117" s="126"/>
      <c r="AD117" s="1"/>
      <c r="AE117" s="127" t="s">
        <v>46</v>
      </c>
      <c r="AF117" s="128"/>
      <c r="AG117" s="129">
        <f>AA6</f>
        <v>NaN</v>
      </c>
      <c r="AH117" s="130" t="s">
        <v>47</v>
      </c>
      <c r="AI117" s="131"/>
      <c r="AJ117" s="132">
        <f>AQ9</f>
        <v>21</v>
      </c>
      <c r="AK117" s="133" t="s">
        <v>48</v>
      </c>
      <c r="AL117" s="133"/>
      <c r="AM117" s="134"/>
      <c r="AQ117" s="1"/>
    </row>
    <row r="118" ht="15" customHeight="1" spans="1:43" x14ac:dyDescent="0.25">
      <c r="A118" s="135" t="s">
        <v>49</v>
      </c>
      <c r="B118" s="135"/>
      <c r="C118" s="135"/>
      <c r="D118" s="135"/>
      <c r="E118" s="135"/>
      <c r="F118" s="135"/>
      <c r="G118" s="135"/>
      <c r="H118" s="135"/>
      <c r="I118" s="135"/>
      <c r="J118" s="135"/>
      <c r="K118" s="1"/>
      <c r="L118" s="1"/>
      <c r="M118" s="1"/>
      <c r="N118" s="1"/>
      <c r="O118" s="1"/>
      <c r="P118" s="1"/>
      <c r="Q118" s="1"/>
      <c r="R118" s="120"/>
      <c r="S118" s="121"/>
      <c r="T118" s="136" t="s">
        <v>50</v>
      </c>
      <c r="U118" s="1"/>
      <c r="V118" s="1"/>
      <c r="W118" s="1"/>
      <c r="X118" s="1"/>
      <c r="Y118" s="1"/>
      <c r="Z118" s="1"/>
      <c r="AA118" s="1"/>
      <c r="AB118" s="1"/>
      <c r="AC118" s="138"/>
      <c r="AD118" s="1"/>
      <c r="AE118" s="1"/>
      <c r="AF118" s="140"/>
      <c r="AG118" s="141"/>
      <c r="AH118" s="142"/>
      <c r="AI118" s="143"/>
      <c r="AJ118" s="144"/>
      <c r="AK118" s="145" t="s">
        <v>16</v>
      </c>
      <c r="AL118" s="146" t="s">
        <v>20</v>
      </c>
      <c r="AM118" s="147" t="s">
        <v>51</v>
      </c>
      <c r="AQ118" s="1"/>
    </row>
    <row r="119" ht="15.5" customHeight="1" spans="1:43" x14ac:dyDescent="0.25">
      <c r="A119" s="135" t="s">
        <v>52</v>
      </c>
      <c r="B119" s="135"/>
      <c r="C119" s="135"/>
      <c r="D119" s="135"/>
      <c r="E119" s="135"/>
      <c r="F119" s="135"/>
      <c r="G119" s="135"/>
      <c r="H119" s="135"/>
      <c r="I119" s="135"/>
      <c r="J119" s="135"/>
      <c r="K119" s="1"/>
      <c r="L119" s="1"/>
      <c r="M119" s="1"/>
      <c r="N119" s="1"/>
      <c r="O119" s="1"/>
      <c r="P119" s="1"/>
      <c r="Q119" s="1"/>
      <c r="R119" s="120"/>
      <c r="S119" s="121"/>
      <c r="T119" s="1"/>
      <c r="U119" s="1"/>
      <c r="V119" s="1"/>
      <c r="W119" s="1"/>
      <c r="X119" s="1"/>
      <c r="Y119" s="1"/>
      <c r="Z119" s="1"/>
      <c r="AA119" s="1"/>
      <c r="AB119" s="1"/>
      <c r="AC119" s="138"/>
      <c r="AD119" s="1"/>
      <c r="AE119" s="149" t="s">
        <v>53</v>
      </c>
      <c r="AF119" s="150"/>
      <c r="AG119" s="150"/>
      <c r="AH119" s="150"/>
      <c r="AI119" s="150"/>
      <c r="AJ119" s="151"/>
      <c r="AK119" s="152"/>
      <c r="AL119" s="152"/>
      <c r="AM119" s="153">
        <f t="shared" ref="AM119:AM123" si="11">AK119+AL119</f>
        <v>0</v>
      </c>
      <c r="AQ119" s="1"/>
    </row>
    <row r="120" ht="15.75" customHeight="1" spans="1:43" x14ac:dyDescent="0.25">
      <c r="A120" s="135" t="s">
        <v>54</v>
      </c>
      <c r="B120" s="135"/>
      <c r="C120" s="135"/>
      <c r="D120" s="135"/>
      <c r="E120" s="135"/>
      <c r="F120" s="135"/>
      <c r="G120" s="135"/>
      <c r="H120" s="135"/>
      <c r="I120" s="135"/>
      <c r="J120" s="135"/>
      <c r="K120" s="1"/>
      <c r="L120" s="1"/>
      <c r="M120" s="1"/>
      <c r="N120" s="1"/>
      <c r="O120" s="1"/>
      <c r="P120" s="1"/>
      <c r="Q120" s="1"/>
      <c r="R120" s="120"/>
      <c r="S120" s="121"/>
      <c r="T120" s="1"/>
      <c r="U120" s="1"/>
      <c r="V120" s="1"/>
      <c r="W120" s="1"/>
      <c r="X120" s="1"/>
      <c r="Y120" s="1"/>
      <c r="Z120" s="1"/>
      <c r="AA120" s="1"/>
      <c r="AB120" s="1"/>
      <c r="AC120" s="138"/>
      <c r="AD120" s="1"/>
      <c r="AE120" s="1"/>
      <c r="AF120" s="155"/>
      <c r="AG120" s="155"/>
      <c r="AH120" s="155"/>
      <c r="AI120" s="155"/>
      <c r="AJ120" s="156"/>
      <c r="AK120" s="31"/>
      <c r="AL120" s="31"/>
      <c r="AM120" s="157"/>
      <c r="AQ120" s="1"/>
    </row>
    <row r="121" ht="15.75" customHeight="1" spans="1:43" x14ac:dyDescent="0.25">
      <c r="A121" s="158" t="s">
        <v>55</v>
      </c>
      <c r="B121" s="159" t="s">
        <v>56</v>
      </c>
      <c r="C121" s="159"/>
      <c r="D121" s="159"/>
      <c r="E121" s="159"/>
      <c r="F121" s="159"/>
      <c r="G121" s="160" t="s">
        <v>57</v>
      </c>
      <c r="H121" s="160"/>
      <c r="I121" s="160"/>
      <c r="J121" s="160"/>
      <c r="K121" s="1"/>
      <c r="L121" s="1"/>
      <c r="M121" s="1"/>
      <c r="N121" s="1"/>
      <c r="O121" s="1"/>
      <c r="P121" s="1"/>
      <c r="Q121" s="161" t="s">
        <v>58</v>
      </c>
      <c r="R121" s="1"/>
      <c r="S121" s="121"/>
      <c r="T121" s="162" t="s">
        <v>59</v>
      </c>
      <c r="U121" s="1"/>
      <c r="V121" s="1"/>
      <c r="W121" s="1"/>
      <c r="X121" s="1"/>
      <c r="Y121" s="3"/>
      <c r="Z121" s="1"/>
      <c r="AA121" s="1"/>
      <c r="AB121" s="163"/>
      <c r="AC121" s="138"/>
      <c r="AD121" s="1"/>
      <c r="AE121" s="164" t="s">
        <v>60</v>
      </c>
      <c r="AF121" s="165"/>
      <c r="AG121" s="165"/>
      <c r="AH121" s="165"/>
      <c r="AI121" s="165"/>
      <c r="AJ121" s="165"/>
      <c r="AK121" s="166">
        <v>0</v>
      </c>
      <c r="AL121" s="166">
        <v>0</v>
      </c>
      <c r="AM121" s="167">
        <f t="shared" si="11"/>
        <v>0</v>
      </c>
      <c r="AQ121" s="1"/>
    </row>
    <row r="122" ht="15.75" customHeight="1" spans="1:43" x14ac:dyDescent="0.25">
      <c r="A122" s="158"/>
      <c r="B122" s="159"/>
      <c r="C122" s="159"/>
      <c r="D122" s="159"/>
      <c r="E122" s="159"/>
      <c r="F122" s="159"/>
      <c r="G122" s="168" t="s">
        <v>61</v>
      </c>
      <c r="H122" s="168"/>
      <c r="I122" s="168"/>
      <c r="J122" s="168"/>
      <c r="K122" s="1"/>
      <c r="L122" s="1"/>
      <c r="M122" s="1"/>
      <c r="N122" s="1"/>
      <c r="O122" s="1"/>
      <c r="P122" s="1"/>
      <c r="Q122" s="1"/>
      <c r="R122" s="1"/>
      <c r="S122" s="121"/>
      <c r="T122" s="162" t="s">
        <v>62</v>
      </c>
      <c r="U122" s="3"/>
      <c r="V122" s="3"/>
      <c r="W122" s="3"/>
      <c r="X122" s="3"/>
      <c r="Y122" s="3"/>
      <c r="Z122" s="1"/>
      <c r="AA122" s="1"/>
      <c r="AB122" s="163"/>
      <c r="AC122" s="138"/>
      <c r="AD122" s="1"/>
      <c r="AE122" s="1"/>
      <c r="AF122" s="165"/>
      <c r="AG122" s="165"/>
      <c r="AH122" s="165"/>
      <c r="AI122" s="165"/>
      <c r="AJ122" s="165"/>
      <c r="AK122" s="166"/>
      <c r="AL122" s="166"/>
      <c r="AM122" s="167"/>
      <c r="AQ122" s="1"/>
    </row>
    <row r="123" ht="18" customHeight="1" spans="1:43" x14ac:dyDescent="0.25">
      <c r="A123" s="158" t="s">
        <v>63</v>
      </c>
      <c r="B123" s="169" t="s">
        <v>64</v>
      </c>
      <c r="C123" s="169"/>
      <c r="D123" s="169"/>
      <c r="E123" s="169"/>
      <c r="F123" s="169"/>
      <c r="G123" s="170" t="s">
        <v>65</v>
      </c>
      <c r="H123" s="170"/>
      <c r="I123" s="170"/>
      <c r="J123" s="170"/>
      <c r="K123" s="1"/>
      <c r="L123" s="1"/>
      <c r="M123" s="1"/>
      <c r="N123" s="1"/>
      <c r="O123" s="1"/>
      <c r="P123" s="1"/>
      <c r="Q123" s="171"/>
      <c r="R123" s="120"/>
      <c r="S123" s="121"/>
      <c r="T123" s="172" t="s">
        <v>66</v>
      </c>
      <c r="U123" s="3"/>
      <c r="V123" s="3"/>
      <c r="W123" s="3"/>
      <c r="X123" s="3"/>
      <c r="Y123" s="3"/>
      <c r="Z123" s="1"/>
      <c r="AA123" s="1"/>
      <c r="AB123" s="163"/>
      <c r="AC123" s="138"/>
      <c r="AD123" s="1"/>
      <c r="AE123" s="164" t="s">
        <v>67</v>
      </c>
      <c r="AF123" s="165"/>
      <c r="AG123" s="165"/>
      <c r="AH123" s="165"/>
      <c r="AI123" s="165"/>
      <c r="AJ123" s="165"/>
      <c r="AK123" s="173">
        <f>COUNTA($B$13:$B$62)</f>
        <v>0</v>
      </c>
      <c r="AL123" s="173">
        <f>COUNTA($B$64:$B$113)</f>
        <v>0</v>
      </c>
      <c r="AM123" s="153">
        <f t="shared" si="11"/>
        <v>0</v>
      </c>
      <c r="AQ123" s="1"/>
    </row>
    <row r="124" ht="14.25" customHeight="1" spans="1:43" x14ac:dyDescent="0.25">
      <c r="A124" s="158"/>
      <c r="B124" s="169"/>
      <c r="C124" s="169"/>
      <c r="D124" s="169"/>
      <c r="E124" s="169"/>
      <c r="F124" s="169"/>
      <c r="G124" s="168" t="s">
        <v>68</v>
      </c>
      <c r="H124" s="168"/>
      <c r="I124" s="168"/>
      <c r="J124" s="168"/>
      <c r="K124" s="1"/>
      <c r="L124" s="1"/>
      <c r="M124" s="1"/>
      <c r="N124" s="1"/>
      <c r="O124" s="1"/>
      <c r="P124" s="1"/>
      <c r="Q124" s="120"/>
      <c r="R124" s="120"/>
      <c r="S124" s="121"/>
      <c r="T124" s="172" t="s">
        <v>69</v>
      </c>
      <c r="U124" s="1"/>
      <c r="V124" s="1"/>
      <c r="W124" s="1"/>
      <c r="X124" s="1"/>
      <c r="Y124" s="3"/>
      <c r="Z124" s="1"/>
      <c r="AA124" s="1"/>
      <c r="AB124" s="163"/>
      <c r="AC124" s="138"/>
      <c r="AD124" s="1"/>
      <c r="AE124" s="1"/>
      <c r="AF124" s="165"/>
      <c r="AG124" s="165"/>
      <c r="AH124" s="165"/>
      <c r="AI124" s="165"/>
      <c r="AJ124" s="165"/>
      <c r="AK124" s="174"/>
      <c r="AL124" s="174"/>
      <c r="AM124" s="157"/>
      <c r="AQ124" s="1"/>
    </row>
    <row r="125" ht="15.75" customHeight="1" spans="1:43" x14ac:dyDescent="0.25">
      <c r="A125" s="175" t="s">
        <v>70</v>
      </c>
      <c r="B125" s="159" t="s">
        <v>71</v>
      </c>
      <c r="C125" s="159"/>
      <c r="D125" s="159"/>
      <c r="E125" s="159"/>
      <c r="F125" s="159"/>
      <c r="G125" s="160" t="s">
        <v>72</v>
      </c>
      <c r="H125" s="160"/>
      <c r="I125" s="160"/>
      <c r="J125" s="160"/>
      <c r="K125" s="1"/>
      <c r="L125" s="1"/>
      <c r="M125" s="1"/>
      <c r="N125" s="1"/>
      <c r="O125" s="1"/>
      <c r="P125" s="1"/>
      <c r="Q125" s="161" t="s">
        <v>58</v>
      </c>
      <c r="R125" s="1"/>
      <c r="S125" s="121"/>
      <c r="T125" s="172" t="s">
        <v>73</v>
      </c>
      <c r="U125" s="1"/>
      <c r="V125" s="1"/>
      <c r="W125" s="1"/>
      <c r="X125" s="1"/>
      <c r="Y125" s="1"/>
      <c r="Z125" s="1"/>
      <c r="AA125" s="1"/>
      <c r="AB125" s="163"/>
      <c r="AC125" s="138"/>
      <c r="AD125" s="1"/>
      <c r="AE125" s="176" t="s">
        <v>74</v>
      </c>
      <c r="AF125" s="177"/>
      <c r="AG125" s="177"/>
      <c r="AH125" s="177"/>
      <c r="AI125" s="177"/>
      <c r="AJ125" s="177"/>
      <c r="AK125" s="178" t="e">
        <f t="shared" ref="AK125:AM125" si="12">AK123/AK119</f>
        <v>#DIV/0!</v>
      </c>
      <c r="AL125" s="178" t="e">
        <f t="shared" si="12"/>
        <v>#DIV/0!</v>
      </c>
      <c r="AM125" s="179" t="e">
        <f t="shared" si="12"/>
        <v>#DIV/0!</v>
      </c>
      <c r="AQ125" s="1"/>
    </row>
    <row r="126" ht="19.5" customHeight="1" spans="1:43" x14ac:dyDescent="0.25">
      <c r="A126" s="175"/>
      <c r="B126" s="159"/>
      <c r="C126" s="159"/>
      <c r="D126" s="159"/>
      <c r="E126" s="159"/>
      <c r="F126" s="159"/>
      <c r="G126" s="161" t="s">
        <v>75</v>
      </c>
      <c r="H126" s="161"/>
      <c r="I126" s="161"/>
      <c r="J126" s="161"/>
      <c r="K126" s="1"/>
      <c r="L126" s="1"/>
      <c r="M126" s="1"/>
      <c r="N126" s="1"/>
      <c r="O126" s="1"/>
      <c r="P126" s="1"/>
      <c r="Q126" s="1"/>
      <c r="R126" s="1"/>
      <c r="S126" s="121"/>
      <c r="T126" s="172" t="s">
        <v>76</v>
      </c>
      <c r="U126" s="1"/>
      <c r="V126" s="1"/>
      <c r="W126" s="1"/>
      <c r="X126" s="1"/>
      <c r="Y126" s="1"/>
      <c r="Z126" s="1"/>
      <c r="AA126" s="1"/>
      <c r="AB126" s="163"/>
      <c r="AC126" s="138"/>
      <c r="AD126" s="1"/>
      <c r="AE126" s="1"/>
      <c r="AF126" s="177"/>
      <c r="AG126" s="177"/>
      <c r="AH126" s="177"/>
      <c r="AI126" s="177"/>
      <c r="AJ126" s="177"/>
      <c r="AK126" s="180"/>
      <c r="AL126" s="180"/>
      <c r="AM126" s="181"/>
      <c r="AQ126" s="1"/>
    </row>
    <row r="127" ht="26.25" customHeight="1" spans="1:43" x14ac:dyDescent="0.25">
      <c r="A127" s="135"/>
      <c r="B127" s="135"/>
      <c r="C127" s="135"/>
      <c r="D127" s="135"/>
      <c r="E127" s="135"/>
      <c r="F127" s="135"/>
      <c r="G127" s="135"/>
      <c r="H127" s="135"/>
      <c r="I127" s="135"/>
      <c r="J127" s="135"/>
      <c r="K127" s="1"/>
      <c r="L127" s="1"/>
      <c r="M127" s="1"/>
      <c r="N127" s="1"/>
      <c r="O127" s="1"/>
      <c r="P127" s="161"/>
      <c r="Q127" s="161"/>
      <c r="R127" s="120"/>
      <c r="S127" s="121"/>
      <c r="T127" s="162" t="s">
        <v>77</v>
      </c>
      <c r="U127" s="1"/>
      <c r="V127" s="1"/>
      <c r="W127" s="1"/>
      <c r="X127" s="1"/>
      <c r="Y127" s="1"/>
      <c r="Z127" s="1"/>
      <c r="AA127" s="1"/>
      <c r="AB127" s="3"/>
      <c r="AC127" s="138"/>
      <c r="AD127" s="1"/>
      <c r="AE127" s="182" t="s">
        <v>78</v>
      </c>
      <c r="AF127" s="183"/>
      <c r="AG127" s="183"/>
      <c r="AH127" s="183"/>
      <c r="AI127" s="183"/>
      <c r="AJ127" s="183"/>
      <c r="AK127" s="184">
        <f>AG63/AJ117</f>
        <v>0</v>
      </c>
      <c r="AL127" s="184">
        <f>AG114/AJ117</f>
        <v>0</v>
      </c>
      <c r="AM127" s="185">
        <f>AG115/AJ117</f>
        <v>0</v>
      </c>
      <c r="AQ127" s="1"/>
    </row>
    <row r="128" ht="16.5" customHeight="1" spans="1:43" x14ac:dyDescent="0.25">
      <c r="A128" s="186" t="s">
        <v>79</v>
      </c>
      <c r="B128" s="186"/>
      <c r="C128" s="186"/>
      <c r="D128" s="186"/>
      <c r="E128" s="186"/>
      <c r="F128" s="186"/>
      <c r="G128" s="186"/>
      <c r="H128" s="186"/>
      <c r="I128" s="186"/>
      <c r="J128" s="186"/>
      <c r="K128" s="1"/>
      <c r="L128" s="1"/>
      <c r="M128" s="1"/>
      <c r="N128" s="1"/>
      <c r="O128" s="1"/>
      <c r="P128" s="1"/>
      <c r="Q128" s="1"/>
      <c r="R128" s="171"/>
      <c r="S128" s="121"/>
      <c r="T128" s="172" t="s">
        <v>80</v>
      </c>
      <c r="U128" s="1"/>
      <c r="V128" s="1"/>
      <c r="W128" s="1"/>
      <c r="X128" s="1"/>
      <c r="Y128" s="1"/>
      <c r="Z128" s="1"/>
      <c r="AA128" s="1"/>
      <c r="AB128" s="163"/>
      <c r="AC128" s="138"/>
      <c r="AD128" s="1"/>
      <c r="AE128" s="164" t="s">
        <v>81</v>
      </c>
      <c r="AF128" s="165"/>
      <c r="AG128" s="165"/>
      <c r="AH128" s="165"/>
      <c r="AI128" s="165"/>
      <c r="AJ128" s="165"/>
      <c r="AK128" s="187" t="e">
        <f t="shared" ref="AK128:AM128" si="13">AK127/AK123</f>
        <v>#DIV/0!</v>
      </c>
      <c r="AL128" s="187" t="e">
        <f t="shared" si="13"/>
        <v>#DIV/0!</v>
      </c>
      <c r="AM128" s="188" t="e">
        <f t="shared" si="13"/>
        <v>#DIV/0!</v>
      </c>
      <c r="AQ128" s="1"/>
    </row>
    <row r="129" ht="15.75" customHeight="1" spans="1:43" x14ac:dyDescent="0.25">
      <c r="A129" s="186"/>
      <c r="B129" s="186"/>
      <c r="C129" s="186"/>
      <c r="D129" s="186"/>
      <c r="E129" s="186"/>
      <c r="F129" s="186"/>
      <c r="G129" s="186"/>
      <c r="H129" s="186"/>
      <c r="I129" s="186"/>
      <c r="J129" s="186"/>
      <c r="K129" s="1"/>
      <c r="L129" s="1"/>
      <c r="M129" s="1"/>
      <c r="N129" s="1"/>
      <c r="O129" s="1"/>
      <c r="P129" s="1"/>
      <c r="Q129" s="1"/>
      <c r="R129" s="171"/>
      <c r="S129" s="121"/>
      <c r="T129" s="172" t="s">
        <v>82</v>
      </c>
      <c r="U129" s="1"/>
      <c r="V129" s="1"/>
      <c r="W129" s="1"/>
      <c r="X129" s="1"/>
      <c r="Y129" s="1"/>
      <c r="Z129" s="1"/>
      <c r="AA129" s="1"/>
      <c r="AB129" s="163"/>
      <c r="AC129" s="138"/>
      <c r="AD129" s="1"/>
      <c r="AE129" s="1"/>
      <c r="AF129" s="165"/>
      <c r="AG129" s="165"/>
      <c r="AH129" s="165"/>
      <c r="AI129" s="165"/>
      <c r="AJ129" s="165"/>
      <c r="AK129" s="174"/>
      <c r="AL129" s="187"/>
      <c r="AM129" s="188"/>
      <c r="AQ129" s="1"/>
    </row>
    <row r="130" ht="15.75" customHeight="1" spans="1:43" x14ac:dyDescent="0.25">
      <c r="A130" s="189" t="s">
        <v>83</v>
      </c>
      <c r="B130" s="189"/>
      <c r="C130" s="189"/>
      <c r="D130" s="189"/>
      <c r="E130" s="189"/>
      <c r="F130" s="189"/>
      <c r="G130" s="189"/>
      <c r="H130" s="189"/>
      <c r="I130" s="189"/>
      <c r="J130" s="189"/>
      <c r="K130" s="1"/>
      <c r="L130" s="1"/>
      <c r="M130" s="1"/>
      <c r="N130" s="1"/>
      <c r="O130" s="1"/>
      <c r="P130" s="1"/>
      <c r="Q130" s="1"/>
      <c r="R130" s="1"/>
      <c r="S130" s="121"/>
      <c r="T130" s="172" t="s">
        <v>84</v>
      </c>
      <c r="U130" s="1"/>
      <c r="V130" s="1"/>
      <c r="W130" s="1"/>
      <c r="X130" s="1"/>
      <c r="Y130" s="1"/>
      <c r="Z130" s="1"/>
      <c r="AA130" s="1"/>
      <c r="AB130" s="163"/>
      <c r="AC130" s="138"/>
      <c r="AD130" s="190"/>
      <c r="AE130" s="164" t="s">
        <v>85</v>
      </c>
      <c r="AF130" s="165"/>
      <c r="AG130" s="165"/>
      <c r="AH130" s="165"/>
      <c r="AI130" s="165"/>
      <c r="AJ130" s="165"/>
      <c r="AK130" s="191">
        <v>0</v>
      </c>
      <c r="AL130" s="191">
        <v>0</v>
      </c>
      <c r="AM130" s="192">
        <f t="shared" ref="AM130:AM134" si="14">AK130+AL130</f>
        <v>0</v>
      </c>
      <c r="AQ130" s="1"/>
    </row>
    <row r="131" ht="16.5" customHeight="1" spans="1:43" x14ac:dyDescent="0.25">
      <c r="A131" s="189"/>
      <c r="B131" s="189"/>
      <c r="C131" s="189"/>
      <c r="D131" s="189"/>
      <c r="E131" s="189"/>
      <c r="F131" s="189"/>
      <c r="G131" s="189"/>
      <c r="H131" s="189"/>
      <c r="I131" s="189"/>
      <c r="J131" s="189"/>
      <c r="K131" s="1"/>
      <c r="L131" s="1"/>
      <c r="M131" s="1"/>
      <c r="N131" s="1"/>
      <c r="O131" s="1"/>
      <c r="P131" s="1"/>
      <c r="Q131" s="1"/>
      <c r="R131" s="1"/>
      <c r="S131" s="121"/>
      <c r="T131" s="172" t="s">
        <v>86</v>
      </c>
      <c r="U131" s="1"/>
      <c r="V131" s="1"/>
      <c r="W131" s="1"/>
      <c r="X131" s="1"/>
      <c r="Y131" s="1"/>
      <c r="Z131" s="1"/>
      <c r="AA131" s="1"/>
      <c r="AB131" s="3"/>
      <c r="AC131" s="138"/>
      <c r="AD131" s="1"/>
      <c r="AE131" s="1"/>
      <c r="AF131" s="165"/>
      <c r="AG131" s="165"/>
      <c r="AH131" s="165"/>
      <c r="AI131" s="165"/>
      <c r="AJ131" s="165"/>
      <c r="AK131" s="152"/>
      <c r="AL131" s="152"/>
      <c r="AM131" s="153"/>
      <c r="AQ131" s="1"/>
    </row>
    <row r="132" ht="14.25" customHeight="1" spans="1:43" x14ac:dyDescent="0.25">
      <c r="A132" s="120" t="s">
        <v>87</v>
      </c>
      <c r="B132" s="186"/>
      <c r="C132" s="186"/>
      <c r="D132" s="186"/>
      <c r="E132" s="186"/>
      <c r="F132" s="186"/>
      <c r="G132" s="193"/>
      <c r="H132" s="193"/>
      <c r="I132" s="193"/>
      <c r="J132" s="193"/>
      <c r="K132" s="193"/>
      <c r="L132" s="193"/>
      <c r="M132" s="193"/>
      <c r="N132" s="193"/>
      <c r="O132" s="193"/>
      <c r="P132" s="193"/>
      <c r="Q132" s="193"/>
      <c r="R132" s="171"/>
      <c r="S132" s="121"/>
      <c r="T132" s="172" t="s">
        <v>88</v>
      </c>
      <c r="U132" s="1"/>
      <c r="V132" s="1"/>
      <c r="W132" s="1"/>
      <c r="X132" s="1"/>
      <c r="Y132" s="1"/>
      <c r="Z132" s="1"/>
      <c r="AA132" s="1"/>
      <c r="AB132" s="163"/>
      <c r="AC132" s="138"/>
      <c r="AD132" s="1"/>
      <c r="AE132" s="194" t="s">
        <v>89</v>
      </c>
      <c r="AF132" s="195"/>
      <c r="AG132" s="195"/>
      <c r="AH132" s="195"/>
      <c r="AI132" s="195"/>
      <c r="AJ132" s="195"/>
      <c r="AK132" s="196">
        <f>COUNTIF(AH13:AI62,"NLS")</f>
        <v>0</v>
      </c>
      <c r="AL132" s="196">
        <f>COUNTIF(AH64:AI113,"NLS")</f>
        <v>0</v>
      </c>
      <c r="AM132" s="167">
        <f t="shared" si="14"/>
        <v>0</v>
      </c>
      <c r="AQ132" s="1"/>
    </row>
    <row r="133" ht="15.75" customHeight="1" spans="1:43" x14ac:dyDescent="0.25">
      <c r="A133" s="158" t="s">
        <v>90</v>
      </c>
      <c r="B133" s="189" t="s">
        <v>91</v>
      </c>
      <c r="C133" s="189"/>
      <c r="D133" s="189"/>
      <c r="E133" s="189"/>
      <c r="F133" s="189"/>
      <c r="G133" s="189"/>
      <c r="H133" s="189"/>
      <c r="I133" s="189"/>
      <c r="J133" s="189"/>
      <c r="K133" s="1"/>
      <c r="L133" s="1"/>
      <c r="M133" s="1"/>
      <c r="N133" s="1"/>
      <c r="O133" s="1"/>
      <c r="P133" s="1"/>
      <c r="Q133" s="1"/>
      <c r="R133" s="120"/>
      <c r="S133" s="121"/>
      <c r="T133" s="172" t="s">
        <v>92</v>
      </c>
      <c r="U133" s="1"/>
      <c r="V133" s="1"/>
      <c r="W133" s="1"/>
      <c r="X133" s="1"/>
      <c r="Y133" s="1"/>
      <c r="Z133" s="1"/>
      <c r="AA133" s="1"/>
      <c r="AB133" s="3"/>
      <c r="AC133" s="138"/>
      <c r="AD133" s="1"/>
      <c r="AE133" s="1"/>
      <c r="AF133" s="195"/>
      <c r="AG133" s="195"/>
      <c r="AH133" s="195"/>
      <c r="AI133" s="195"/>
      <c r="AJ133" s="195"/>
      <c r="AK133" s="196"/>
      <c r="AL133" s="196"/>
      <c r="AM133" s="167"/>
      <c r="AQ133" s="1"/>
    </row>
    <row r="134" ht="15.75" customHeight="1" spans="7:43" x14ac:dyDescent="0.25">
      <c r="G134" s="119"/>
      <c r="H134" s="119"/>
      <c r="I134" s="119"/>
      <c r="J134" s="119"/>
      <c r="K134" s="197"/>
      <c r="L134" s="197"/>
      <c r="M134" s="197"/>
      <c r="N134" s="197"/>
      <c r="O134" s="1"/>
      <c r="P134" s="1"/>
      <c r="Q134" s="1"/>
      <c r="R134" s="1"/>
      <c r="S134" s="121"/>
      <c r="T134" s="172" t="s">
        <v>93</v>
      </c>
      <c r="U134" s="1"/>
      <c r="V134" s="1"/>
      <c r="W134" s="1"/>
      <c r="X134" s="1"/>
      <c r="Y134" s="1"/>
      <c r="Z134" s="1"/>
      <c r="AA134" s="1"/>
      <c r="AB134" s="1"/>
      <c r="AC134" s="138"/>
      <c r="AD134" s="1"/>
      <c r="AE134" s="194" t="s">
        <v>94</v>
      </c>
      <c r="AF134" s="195"/>
      <c r="AG134" s="195"/>
      <c r="AH134" s="195"/>
      <c r="AI134" s="195"/>
      <c r="AJ134" s="195"/>
      <c r="AK134" s="174">
        <f>COUNTIF(AH13:AI62,"Transferred Out")</f>
        <v>0</v>
      </c>
      <c r="AL134" s="174">
        <f>COUNTIF(AH64:AI113,"Transferred Out")</f>
        <v>0</v>
      </c>
      <c r="AM134" s="157">
        <f t="shared" si="14"/>
        <v>0</v>
      </c>
      <c r="AQ134" s="1"/>
    </row>
    <row r="135" ht="14.25" customHeight="1" spans="2:43" x14ac:dyDescent="0.25">
      <c r="B135" s="119"/>
      <c r="C135" s="119"/>
      <c r="D135" s="119"/>
      <c r="E135" s="119"/>
      <c r="F135" s="119"/>
      <c r="G135" s="119"/>
      <c r="H135" s="119"/>
      <c r="I135" s="119"/>
      <c r="J135" s="119"/>
      <c r="K135" s="1"/>
      <c r="L135" s="1"/>
      <c r="M135" s="1"/>
      <c r="N135" s="1"/>
      <c r="O135" s="1"/>
      <c r="P135" s="1"/>
      <c r="Q135" s="1"/>
      <c r="R135" s="1"/>
      <c r="S135" s="121"/>
      <c r="T135" s="162" t="s">
        <v>95</v>
      </c>
      <c r="U135" s="1"/>
      <c r="V135" s="1"/>
      <c r="W135" s="1"/>
      <c r="X135" s="1"/>
      <c r="Y135" s="1"/>
      <c r="Z135" s="163"/>
      <c r="AA135" s="163"/>
      <c r="AB135" s="163"/>
      <c r="AC135" s="138"/>
      <c r="AD135" s="1"/>
      <c r="AE135" s="1"/>
      <c r="AF135" s="195"/>
      <c r="AG135" s="195"/>
      <c r="AH135" s="195"/>
      <c r="AI135" s="195"/>
      <c r="AJ135" s="195"/>
      <c r="AK135" s="174"/>
      <c r="AL135" s="174"/>
      <c r="AM135" s="157"/>
      <c r="AQ135" s="1"/>
    </row>
    <row r="136" ht="15" customHeight="1" spans="2:43" x14ac:dyDescent="0.25">
      <c r="B136" s="198"/>
      <c r="C136" s="198"/>
      <c r="D136" s="198"/>
      <c r="E136" s="198"/>
      <c r="F136" s="198"/>
      <c r="G136" s="198"/>
      <c r="H136" s="198"/>
      <c r="I136" s="198"/>
      <c r="J136" s="198"/>
      <c r="K136" s="1"/>
      <c r="L136" s="1"/>
      <c r="M136" s="1"/>
      <c r="N136" s="1"/>
      <c r="O136" s="1"/>
      <c r="P136" s="1"/>
      <c r="Q136" s="1"/>
      <c r="R136" s="1"/>
      <c r="S136" s="121"/>
      <c r="T136" s="172" t="s">
        <v>96</v>
      </c>
      <c r="U136" s="1"/>
      <c r="V136" s="1"/>
      <c r="W136" s="1"/>
      <c r="X136" s="1"/>
      <c r="Y136" s="1"/>
      <c r="Z136" s="1"/>
      <c r="AA136" s="1"/>
      <c r="AB136" s="1"/>
      <c r="AC136" s="138"/>
      <c r="AD136" s="148"/>
      <c r="AE136" s="194" t="s">
        <v>97</v>
      </c>
      <c r="AF136" s="195"/>
      <c r="AG136" s="195"/>
      <c r="AH136" s="195"/>
      <c r="AI136" s="195"/>
      <c r="AJ136" s="195"/>
      <c r="AK136" s="174">
        <f>COUNTIF(AH13:AI62,"Transferred In")</f>
        <v>0</v>
      </c>
      <c r="AL136" s="174">
        <f>COUNTIF(AH64:AI113,"Transferred In")</f>
        <v>0</v>
      </c>
      <c r="AM136" s="157">
        <f>AK136+AL136</f>
        <v>0</v>
      </c>
      <c r="AQ136" s="1"/>
    </row>
    <row r="137" ht="15.75" customHeight="1" spans="2:43" x14ac:dyDescent="0.25">
      <c r="B137" s="198"/>
      <c r="C137" s="198"/>
      <c r="D137" s="198"/>
      <c r="E137" s="198"/>
      <c r="F137" s="198"/>
      <c r="G137" s="198"/>
      <c r="H137" s="198"/>
      <c r="I137" s="198"/>
      <c r="J137" s="198"/>
      <c r="K137" s="1"/>
      <c r="L137" s="1"/>
      <c r="M137" s="1"/>
      <c r="N137" s="1"/>
      <c r="O137" s="1"/>
      <c r="P137" s="1"/>
      <c r="Q137" s="1"/>
      <c r="R137" s="1"/>
      <c r="S137" s="121"/>
      <c r="T137" s="172" t="s">
        <v>98</v>
      </c>
      <c r="U137" s="1"/>
      <c r="V137" s="1"/>
      <c r="W137" s="1"/>
      <c r="X137" s="1"/>
      <c r="Y137" s="1"/>
      <c r="Z137" s="1"/>
      <c r="AA137" s="1"/>
      <c r="AB137" s="1"/>
      <c r="AC137" s="138"/>
      <c r="AD137" s="1"/>
      <c r="AE137" s="1"/>
      <c r="AF137" s="146"/>
      <c r="AG137" s="146"/>
      <c r="AH137" s="146"/>
      <c r="AI137" s="146"/>
      <c r="AJ137" s="146"/>
      <c r="AK137" s="200"/>
      <c r="AL137" s="200"/>
      <c r="AM137" s="201"/>
      <c r="AQ137" s="1"/>
    </row>
    <row r="138" ht="14.25" customHeight="1" spans="2:43" x14ac:dyDescent="0.25">
      <c r="B138" s="3"/>
      <c r="C138" s="3"/>
      <c r="D138" s="3"/>
      <c r="E138" s="3"/>
      <c r="F138" s="3"/>
      <c r="K138" s="1"/>
      <c r="L138" s="1"/>
      <c r="M138" s="1"/>
      <c r="N138" s="1"/>
      <c r="O138" s="1"/>
      <c r="P138" s="1"/>
      <c r="Q138" s="1"/>
      <c r="R138" s="1"/>
      <c r="S138" s="121"/>
      <c r="T138" s="172" t="s">
        <v>99</v>
      </c>
      <c r="U138" s="1"/>
      <c r="V138" s="1"/>
      <c r="W138" s="1"/>
      <c r="X138" s="1"/>
      <c r="Y138" s="1"/>
      <c r="Z138" s="1"/>
      <c r="AA138" s="1"/>
      <c r="AB138" s="1"/>
      <c r="AC138" s="138"/>
      <c r="AD138" s="1"/>
      <c r="AE138" s="1"/>
      <c r="AQ138" s="1"/>
    </row>
    <row r="139" spans="2:43" x14ac:dyDescent="0.25">
      <c r="B139" s="3"/>
      <c r="C139" s="3"/>
      <c r="D139" s="3"/>
      <c r="E139" s="3"/>
      <c r="F139" s="3"/>
      <c r="G139" s="3"/>
      <c r="H139" s="3"/>
      <c r="I139" s="3"/>
      <c r="J139" s="3"/>
      <c r="K139" s="1"/>
      <c r="L139" s="1"/>
      <c r="M139" s="1"/>
      <c r="N139" s="1"/>
      <c r="O139" s="1"/>
      <c r="P139" s="1"/>
      <c r="Q139" s="1"/>
      <c r="R139" s="1"/>
      <c r="S139" s="121"/>
      <c r="T139" s="162" t="s">
        <v>100</v>
      </c>
      <c r="U139" s="1"/>
      <c r="V139" s="1"/>
      <c r="W139" s="1"/>
      <c r="X139" s="1"/>
      <c r="Y139" s="1"/>
      <c r="Z139" s="1"/>
      <c r="AA139" s="1"/>
      <c r="AB139" s="1"/>
      <c r="AC139" s="138"/>
      <c r="AD139" s="1"/>
      <c r="AE139" s="202" t="s">
        <v>101</v>
      </c>
      <c r="AM139" s="203"/>
      <c r="AQ139" s="1"/>
    </row>
    <row r="140" spans="2:43" x14ac:dyDescent="0.25">
      <c r="B140" s="204"/>
      <c r="C140" s="204"/>
      <c r="D140" s="204"/>
      <c r="E140" s="204"/>
      <c r="F140" s="204"/>
      <c r="G140" s="3"/>
      <c r="H140" s="3"/>
      <c r="I140" s="3"/>
      <c r="J140" s="3"/>
      <c r="K140" s="1"/>
      <c r="L140" s="1"/>
      <c r="M140" s="1"/>
      <c r="N140" s="1"/>
      <c r="O140" s="1"/>
      <c r="P140" s="1"/>
      <c r="Q140" s="1"/>
      <c r="R140" s="1"/>
      <c r="S140" s="121"/>
      <c r="T140" s="172" t="s">
        <v>102</v>
      </c>
      <c r="U140" s="1"/>
      <c r="V140" s="1"/>
      <c r="W140" s="1"/>
      <c r="X140" s="1"/>
      <c r="Y140" s="1"/>
      <c r="Z140" s="1"/>
      <c r="AA140" s="1"/>
      <c r="AB140" s="1"/>
      <c r="AC140" s="138"/>
      <c r="AD140" s="1"/>
      <c r="AE140" s="205"/>
      <c r="AF140" s="205"/>
      <c r="AG140" s="205"/>
      <c r="AH140" s="205"/>
      <c r="AI140" s="205"/>
      <c r="AJ140" s="205"/>
      <c r="AK140" s="205"/>
      <c r="AL140" s="205"/>
      <c r="AM140" s="205"/>
      <c r="AQ140" s="1"/>
    </row>
    <row r="141" ht="12" customHeight="1" spans="2:43" x14ac:dyDescent="0.25">
      <c r="B141" s="204"/>
      <c r="C141" s="204"/>
      <c r="D141" s="204"/>
      <c r="E141" s="204"/>
      <c r="F141" s="204"/>
      <c r="K141" s="1"/>
      <c r="L141" s="1"/>
      <c r="M141" s="1"/>
      <c r="N141" s="1"/>
      <c r="O141" s="1"/>
      <c r="P141" s="1"/>
      <c r="Q141" s="1"/>
      <c r="R141" s="1"/>
      <c r="S141" s="121"/>
      <c r="T141" s="206" t="s">
        <v>103</v>
      </c>
      <c r="U141" s="1"/>
      <c r="V141" s="1"/>
      <c r="W141" s="1"/>
      <c r="X141" s="1"/>
      <c r="Y141" s="1"/>
      <c r="Z141" s="1"/>
      <c r="AA141" s="1"/>
      <c r="AB141" s="1"/>
      <c r="AC141" s="1"/>
      <c r="AD141" s="1"/>
      <c r="AE141" s="1"/>
      <c r="AF141" s="97"/>
      <c r="AG141" s="97"/>
      <c r="AH141" s="97"/>
      <c r="AI141" s="97"/>
      <c r="AJ141" s="97"/>
      <c r="AK141" s="97"/>
      <c r="AL141" s="97"/>
      <c r="AM141" s="97"/>
      <c r="AQ141" s="1"/>
    </row>
    <row r="142" spans="2:43" x14ac:dyDescent="0.25">
      <c r="B142" s="204"/>
      <c r="C142" s="204"/>
      <c r="D142" s="204"/>
      <c r="E142" s="204"/>
      <c r="F142" s="204"/>
      <c r="K142" s="1"/>
      <c r="L142" s="1"/>
      <c r="M142" s="1"/>
      <c r="N142" s="1"/>
      <c r="O142" s="1"/>
      <c r="P142" s="1"/>
      <c r="Q142" s="1"/>
      <c r="R142" s="1"/>
      <c r="S142" s="121"/>
      <c r="T142" s="1"/>
      <c r="U142" s="1"/>
      <c r="V142" s="1"/>
      <c r="W142" s="1"/>
      <c r="X142" s="1"/>
      <c r="Y142" s="1"/>
      <c r="Z142" s="1"/>
      <c r="AA142" s="1"/>
      <c r="AB142" s="1"/>
      <c r="AC142" s="1"/>
      <c r="AD142" s="1"/>
      <c r="AE142" s="208" t="s">
        <v>104</v>
      </c>
      <c r="AF142" s="208"/>
      <c r="AG142" s="208"/>
      <c r="AH142" s="208"/>
      <c r="AI142" s="208"/>
      <c r="AJ142" s="208"/>
      <c r="AK142" s="208"/>
      <c r="AL142" s="208"/>
      <c r="AM142" s="208"/>
      <c r="AQ142" s="1"/>
    </row>
    <row r="143" spans="2:43" x14ac:dyDescent="0.25">
      <c r="B143" s="204"/>
      <c r="C143" s="204"/>
      <c r="D143" s="204"/>
      <c r="E143" s="204"/>
      <c r="F143" s="204"/>
      <c r="K143" s="1"/>
      <c r="L143" s="1"/>
      <c r="M143" s="1"/>
      <c r="N143" s="1"/>
      <c r="O143" s="1"/>
      <c r="P143" s="1"/>
      <c r="Q143" s="1"/>
      <c r="R143" s="1"/>
      <c r="S143" s="1"/>
      <c r="T143" s="172" t="s">
        <v>105</v>
      </c>
      <c r="U143" s="1"/>
      <c r="V143" s="1"/>
      <c r="W143" s="1"/>
      <c r="X143" s="1"/>
      <c r="Y143" s="1"/>
      <c r="Z143" s="1"/>
      <c r="AA143" s="1"/>
      <c r="AB143" s="1"/>
      <c r="AC143" s="209"/>
      <c r="AD143" s="1"/>
      <c r="AE143" s="1"/>
      <c r="AQ143" s="1"/>
    </row>
    <row r="144" ht="14.25" customHeight="1" spans="2:43" x14ac:dyDescent="0.25">
      <c r="B144" s="3"/>
      <c r="C144" s="3"/>
      <c r="D144" s="3"/>
      <c r="E144" s="3"/>
      <c r="F144" s="3"/>
      <c r="K144" s="1"/>
      <c r="L144" s="1"/>
      <c r="M144" s="1"/>
      <c r="N144" s="1"/>
      <c r="O144" s="1"/>
      <c r="P144" s="1"/>
      <c r="Q144" s="1"/>
      <c r="R144" s="1"/>
      <c r="S144" s="1"/>
      <c r="T144" s="162" t="s">
        <v>106</v>
      </c>
      <c r="U144" s="1"/>
      <c r="V144" s="1"/>
      <c r="W144" s="1"/>
      <c r="X144" s="1"/>
      <c r="Y144" s="1"/>
      <c r="Z144" s="1"/>
      <c r="AA144" s="1"/>
      <c r="AB144" s="1"/>
      <c r="AC144" s="209"/>
      <c r="AD144" s="1"/>
      <c r="AE144" s="1" t="s">
        <v>107</v>
      </c>
      <c r="AG144" s="202"/>
      <c r="AH144" s="202"/>
      <c r="AI144" s="202"/>
      <c r="AJ144" s="202"/>
      <c r="AK144" s="202"/>
      <c r="AL144" s="202"/>
      <c r="AQ144" s="1"/>
    </row>
    <row r="145" ht="27.65" customHeight="1" spans="1:43" x14ac:dyDescent="0.25">
      <c r="A145" s="210"/>
      <c r="B145" s="210"/>
      <c r="C145" s="210"/>
      <c r="D145" s="210"/>
      <c r="E145" s="210"/>
      <c r="F145" s="210"/>
      <c r="K145" s="1"/>
      <c r="L145" s="1"/>
      <c r="M145" s="1"/>
      <c r="N145" s="1"/>
      <c r="O145" s="1"/>
      <c r="P145" s="1"/>
      <c r="Q145" s="1"/>
      <c r="R145" s="1"/>
      <c r="S145" s="1"/>
      <c r="T145" s="172" t="s">
        <v>108</v>
      </c>
      <c r="U145" s="1"/>
      <c r="V145" s="1"/>
      <c r="W145" s="1"/>
      <c r="X145" s="1"/>
      <c r="Y145" s="1"/>
      <c r="Z145" s="1"/>
      <c r="AA145" s="1"/>
      <c r="AB145" s="1"/>
      <c r="AC145" s="209"/>
      <c r="AD145" s="1"/>
      <c r="AE145" s="97"/>
      <c r="AF145" s="97"/>
      <c r="AG145" s="97"/>
      <c r="AH145" s="97"/>
      <c r="AI145" s="97"/>
      <c r="AJ145" s="97"/>
      <c r="AK145" s="97"/>
      <c r="AL145" s="97"/>
      <c r="AM145" s="97"/>
      <c r="AQ145" s="1"/>
    </row>
    <row r="146" ht="14.25" customHeight="1" spans="1:43" x14ac:dyDescent="0.25">
      <c r="A146" s="210"/>
      <c r="B146" s="210"/>
      <c r="C146" s="210"/>
      <c r="D146" s="210"/>
      <c r="E146" s="210"/>
      <c r="F146" s="210"/>
      <c r="K146" s="1"/>
      <c r="L146" s="1"/>
      <c r="M146" s="1"/>
      <c r="N146" s="1"/>
      <c r="O146" s="1"/>
      <c r="P146" s="1"/>
      <c r="Q146" s="1"/>
      <c r="R146" s="1"/>
      <c r="S146" s="1"/>
      <c r="T146" s="211" t="s">
        <v>109</v>
      </c>
      <c r="U146" s="212"/>
      <c r="V146" s="212"/>
      <c r="W146" s="212"/>
      <c r="X146" s="212"/>
      <c r="Y146" s="212"/>
      <c r="Z146" s="212"/>
      <c r="AA146" s="212"/>
      <c r="AB146" s="212"/>
      <c r="AC146" s="213"/>
      <c r="AD146" s="1"/>
      <c r="AE146" s="208" t="s">
        <v>110</v>
      </c>
      <c r="AF146" s="208"/>
      <c r="AG146" s="208"/>
      <c r="AH146" s="208"/>
      <c r="AI146" s="208"/>
      <c r="AJ146" s="208"/>
      <c r="AK146" s="208"/>
      <c r="AL146" s="208"/>
      <c r="AM146" s="208"/>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1"/>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1"/>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1"/>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1"/>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1"/>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1"/>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1"/>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1"/>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1"/>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1"/>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1"/>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1"/>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1"/>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1"/>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1"/>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1"/>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1"/>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1"/>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1"/>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1"/>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1"/>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1"/>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1"/>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1"/>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1"/>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1"/>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1"/>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1"/>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1"/>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1"/>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1"/>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1"/>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1"/>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1"/>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1"/>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1"/>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1"/>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1"/>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1"/>
    </row>
    <row r="55" ht="21.9" customHeight="1" spans="1:43" x14ac:dyDescent="0.25">
      <c r="A55" s="62">
        <v>43</v>
      </c>
      <c r="B55" s="77"/>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1"/>
    </row>
    <row r="56" ht="21.9" customHeight="1" spans="1:43" x14ac:dyDescent="0.25">
      <c r="A56" s="62">
        <v>44</v>
      </c>
      <c r="B56" s="77"/>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1"/>
    </row>
    <row r="57" ht="21.9" customHeight="1" spans="1:43" x14ac:dyDescent="0.25">
      <c r="A57" s="62">
        <v>45</v>
      </c>
      <c r="B57" s="77"/>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1"/>
    </row>
    <row r="58" ht="21.9" customHeight="1" spans="1:43" x14ac:dyDescent="0.25">
      <c r="A58" s="62">
        <v>46</v>
      </c>
      <c r="B58" s="77"/>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1"/>
    </row>
    <row r="59" ht="21.9" customHeight="1" spans="1:43" x14ac:dyDescent="0.25">
      <c r="A59" s="62">
        <v>47</v>
      </c>
      <c r="B59" s="77"/>
      <c r="C59" s="78"/>
      <c r="D59" s="78"/>
      <c r="E59" s="78"/>
      <c r="F59" s="78"/>
      <c r="G59" s="79"/>
      <c r="H59" s="80"/>
      <c r="I59" s="80"/>
      <c r="J59" s="80"/>
      <c r="K59" s="81"/>
      <c r="L59" s="82"/>
      <c r="M59" s="80"/>
      <c r="N59" s="80"/>
      <c r="O59" s="80"/>
      <c r="P59" s="83"/>
      <c r="Q59" s="79"/>
      <c r="R59" s="80"/>
      <c r="S59" s="80"/>
      <c r="T59" s="80"/>
      <c r="U59" s="81"/>
      <c r="V59" s="82"/>
      <c r="W59" s="80"/>
      <c r="X59" s="80"/>
      <c r="Y59" s="80"/>
      <c r="Z59" s="83"/>
      <c r="AA59" s="79"/>
      <c r="AB59" s="80"/>
      <c r="AC59" s="80"/>
      <c r="AD59" s="83"/>
      <c r="AE59" s="81"/>
      <c r="AF59" s="72">
        <f t="shared" si="2"/>
      </c>
      <c r="AG59" s="73">
        <f t="shared" si="3"/>
      </c>
      <c r="AH59" s="74"/>
      <c r="AI59" s="75"/>
      <c r="AJ59" s="75"/>
      <c r="AK59" s="75"/>
      <c r="AL59" s="75"/>
      <c r="AM59" s="76"/>
      <c r="AQ59" s="1"/>
    </row>
    <row r="60" ht="21.9" customHeight="1" spans="1:43" x14ac:dyDescent="0.25">
      <c r="A60" s="62">
        <v>48</v>
      </c>
      <c r="B60" s="77"/>
      <c r="C60" s="78"/>
      <c r="D60" s="78"/>
      <c r="E60" s="78"/>
      <c r="F60" s="78"/>
      <c r="G60" s="79"/>
      <c r="H60" s="80"/>
      <c r="I60" s="80"/>
      <c r="J60" s="80"/>
      <c r="K60" s="81"/>
      <c r="L60" s="82"/>
      <c r="M60" s="80"/>
      <c r="N60" s="80"/>
      <c r="O60" s="80"/>
      <c r="P60" s="83"/>
      <c r="Q60" s="79"/>
      <c r="R60" s="80"/>
      <c r="S60" s="80"/>
      <c r="T60" s="80"/>
      <c r="U60" s="81"/>
      <c r="V60" s="82"/>
      <c r="W60" s="80"/>
      <c r="X60" s="80"/>
      <c r="Y60" s="80"/>
      <c r="Z60" s="83"/>
      <c r="AA60" s="79"/>
      <c r="AB60" s="80"/>
      <c r="AC60" s="80"/>
      <c r="AD60" s="83"/>
      <c r="AE60" s="81"/>
      <c r="AF60" s="72">
        <f t="shared" si="2"/>
      </c>
      <c r="AG60" s="73">
        <f t="shared" si="3"/>
      </c>
      <c r="AH60" s="74"/>
      <c r="AI60" s="75"/>
      <c r="AJ60" s="75"/>
      <c r="AK60" s="75"/>
      <c r="AL60" s="75"/>
      <c r="AM60" s="76"/>
      <c r="AQ60" s="1"/>
    </row>
    <row r="61" ht="21.9" customHeight="1" spans="1:43" x14ac:dyDescent="0.25">
      <c r="A61" s="62">
        <v>49</v>
      </c>
      <c r="B61" s="77"/>
      <c r="C61" s="78"/>
      <c r="D61" s="78"/>
      <c r="E61" s="78"/>
      <c r="F61" s="78"/>
      <c r="G61" s="79"/>
      <c r="H61" s="80"/>
      <c r="I61" s="80"/>
      <c r="J61" s="80"/>
      <c r="K61" s="81"/>
      <c r="L61" s="82"/>
      <c r="M61" s="80"/>
      <c r="N61" s="80"/>
      <c r="O61" s="80"/>
      <c r="P61" s="83"/>
      <c r="Q61" s="79"/>
      <c r="R61" s="80"/>
      <c r="S61" s="80"/>
      <c r="T61" s="80"/>
      <c r="U61" s="81"/>
      <c r="V61" s="82"/>
      <c r="W61" s="80"/>
      <c r="X61" s="80"/>
      <c r="Y61" s="80"/>
      <c r="Z61" s="83"/>
      <c r="AA61" s="79"/>
      <c r="AB61" s="80"/>
      <c r="AC61" s="80"/>
      <c r="AD61" s="83"/>
      <c r="AE61" s="81"/>
      <c r="AF61" s="72">
        <f t="shared" si="2"/>
      </c>
      <c r="AG61" s="73">
        <f t="shared" si="3"/>
      </c>
      <c r="AH61" s="74"/>
      <c r="AI61" s="75"/>
      <c r="AJ61" s="75"/>
      <c r="AK61" s="75"/>
      <c r="AL61" s="75"/>
      <c r="AM61" s="76"/>
      <c r="AQ61" s="1"/>
    </row>
    <row r="62" ht="21.9" customHeight="1" spans="1:43" x14ac:dyDescent="0.25">
      <c r="A62" s="79">
        <v>50</v>
      </c>
      <c r="B62" s="84"/>
      <c r="C62" s="78"/>
      <c r="D62" s="78"/>
      <c r="E62" s="78"/>
      <c r="F62" s="78"/>
      <c r="G62" s="79"/>
      <c r="H62" s="80"/>
      <c r="I62" s="80"/>
      <c r="J62" s="80"/>
      <c r="K62" s="81"/>
      <c r="L62" s="82"/>
      <c r="M62" s="80"/>
      <c r="N62" s="80"/>
      <c r="O62" s="80"/>
      <c r="P62" s="83"/>
      <c r="Q62" s="79"/>
      <c r="R62" s="80"/>
      <c r="S62" s="80"/>
      <c r="T62" s="80"/>
      <c r="U62" s="81"/>
      <c r="V62" s="82"/>
      <c r="W62" s="80"/>
      <c r="X62" s="80"/>
      <c r="Y62" s="80"/>
      <c r="Z62" s="83"/>
      <c r="AA62" s="79"/>
      <c r="AB62" s="80"/>
      <c r="AC62" s="80"/>
      <c r="AD62" s="83"/>
      <c r="AE62" s="81"/>
      <c r="AF62" s="72">
        <f t="shared" si="2"/>
      </c>
      <c r="AG62" s="73">
        <f t="shared" si="3"/>
      </c>
      <c r="AH62" s="74"/>
      <c r="AI62" s="75"/>
      <c r="AJ62" s="85"/>
      <c r="AK62" s="85"/>
      <c r="AL62" s="85"/>
      <c r="AM62" s="86"/>
      <c r="AQ62" s="1"/>
    </row>
    <row r="63" ht="21.9" customHeight="1" spans="1:43" x14ac:dyDescent="0.25">
      <c r="A63" s="87"/>
      <c r="B63" s="88" t="s">
        <v>36</v>
      </c>
      <c r="C63" s="88"/>
      <c r="D63" s="88"/>
      <c r="E63" s="88"/>
      <c r="F63" s="88"/>
      <c r="G63" s="89">
        <f t="shared" ref="G63:AE63" si="4">IF(G10="","",COUNTA($B$13:$B$62)-(COUNTIF(G13:G62,"x")*1+COUNTIF(G13:G62,"h")*0.5))</f>
      </c>
      <c r="H63" s="90">
        <f t="shared" si="4"/>
        <v>0</v>
      </c>
      <c r="I63" s="90">
        <f t="shared" si="4"/>
        <v>0</v>
      </c>
      <c r="J63" s="90">
        <f t="shared" si="4"/>
        <v>0</v>
      </c>
      <c r="K63" s="91">
        <f t="shared" si="4"/>
        <v>0</v>
      </c>
      <c r="L63" s="89">
        <f t="shared" si="4"/>
        <v>0</v>
      </c>
      <c r="M63" s="90">
        <f t="shared" si="4"/>
        <v>0</v>
      </c>
      <c r="N63" s="90">
        <f t="shared" si="4"/>
        <v>0</v>
      </c>
      <c r="O63" s="90">
        <f t="shared" si="4"/>
        <v>0</v>
      </c>
      <c r="P63" s="91">
        <f t="shared" si="4"/>
        <v>0</v>
      </c>
      <c r="Q63" s="89">
        <f t="shared" si="4"/>
        <v>0</v>
      </c>
      <c r="R63" s="90">
        <f t="shared" si="4"/>
        <v>0</v>
      </c>
      <c r="S63" s="90">
        <f t="shared" si="4"/>
        <v>0</v>
      </c>
      <c r="T63" s="90">
        <f t="shared" si="4"/>
        <v>0</v>
      </c>
      <c r="U63" s="91">
        <f t="shared" si="4"/>
        <v>0</v>
      </c>
      <c r="V63" s="89">
        <f t="shared" si="4"/>
        <v>0</v>
      </c>
      <c r="W63" s="90">
        <f t="shared" si="4"/>
        <v>0</v>
      </c>
      <c r="X63" s="90">
        <f t="shared" si="4"/>
        <v>0</v>
      </c>
      <c r="Y63" s="90">
        <f t="shared" si="4"/>
        <v>0</v>
      </c>
      <c r="Z63" s="91">
        <f t="shared" si="4"/>
        <v>0</v>
      </c>
      <c r="AA63" s="89">
        <f t="shared" si="4"/>
        <v>0</v>
      </c>
      <c r="AB63" s="90">
        <f t="shared" si="4"/>
        <v>0</v>
      </c>
      <c r="AC63" s="90">
        <f t="shared" si="4"/>
        <v>0</v>
      </c>
      <c r="AD63" s="90">
        <f t="shared" si="4"/>
        <v>0</v>
      </c>
      <c r="AE63" s="91">
        <f t="shared" si="4"/>
      </c>
      <c r="AF63" s="92">
        <f>SUM(AF13:AF62)</f>
        <v>0</v>
      </c>
      <c r="AG63" s="93">
        <f>SUM(AG13:AG62)</f>
        <v>0</v>
      </c>
      <c r="AH63" s="94"/>
      <c r="AI63" s="95"/>
      <c r="AJ63" s="95"/>
      <c r="AK63" s="95"/>
      <c r="AL63" s="95"/>
      <c r="AM63" s="96"/>
      <c r="AQ63" s="1"/>
    </row>
    <row r="64" ht="21.9" customHeight="1" spans="1:43" x14ac:dyDescent="0.25">
      <c r="A64" s="62">
        <v>1</v>
      </c>
      <c r="B64" s="63" t="s">
        <v>37</v>
      </c>
      <c r="C64" s="97"/>
      <c r="D64" s="97"/>
      <c r="E64" s="97"/>
      <c r="F64" s="97"/>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6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6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6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6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6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1"/>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1"/>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1"/>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1"/>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1"/>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1"/>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1"/>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1"/>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1"/>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1"/>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1"/>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1"/>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1"/>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1"/>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1"/>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1"/>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1"/>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1"/>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1"/>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1"/>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1"/>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1"/>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1"/>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1"/>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1"/>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1"/>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1"/>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1"/>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1"/>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1"/>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1"/>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1"/>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1"/>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1"/>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1"/>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1"/>
    </row>
    <row r="105" ht="21.9" customHeight="1" spans="1:43" x14ac:dyDescent="0.25">
      <c r="A105" s="62">
        <v>42</v>
      </c>
      <c r="B105" s="77"/>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1"/>
    </row>
    <row r="106" ht="21.9" customHeight="1" spans="1:43" x14ac:dyDescent="0.25">
      <c r="A106" s="62">
        <v>43</v>
      </c>
      <c r="B106" s="77"/>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1"/>
    </row>
    <row r="107" ht="21.9" customHeight="1" spans="1:43" x14ac:dyDescent="0.25">
      <c r="A107" s="62">
        <v>44</v>
      </c>
      <c r="B107" s="77"/>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1"/>
    </row>
    <row r="108" ht="21.9" customHeight="1" spans="1:43" x14ac:dyDescent="0.25">
      <c r="A108" s="62">
        <v>45</v>
      </c>
      <c r="B108" s="77"/>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1"/>
    </row>
    <row r="109" ht="21.9" customHeight="1" spans="1:43" x14ac:dyDescent="0.25">
      <c r="A109" s="62">
        <v>46</v>
      </c>
      <c r="B109" s="77"/>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1"/>
    </row>
    <row r="110" ht="21.9" customHeight="1" spans="1:43" x14ac:dyDescent="0.25">
      <c r="A110" s="62">
        <v>47</v>
      </c>
      <c r="B110" s="77"/>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1"/>
    </row>
    <row r="111" ht="21.9" customHeight="1" spans="1:43" x14ac:dyDescent="0.25">
      <c r="A111" s="62">
        <v>48</v>
      </c>
      <c r="B111" s="77"/>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1"/>
    </row>
    <row r="112" ht="21.9" customHeight="1" spans="1:43" x14ac:dyDescent="0.25">
      <c r="A112" s="62">
        <v>49</v>
      </c>
      <c r="B112" s="77"/>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1"/>
    </row>
    <row r="113" ht="21.9" customHeight="1" spans="1:43" x14ac:dyDescent="0.25">
      <c r="A113" s="79">
        <v>50</v>
      </c>
      <c r="B113" s="84"/>
      <c r="C113" s="78"/>
      <c r="D113" s="78"/>
      <c r="E113" s="78"/>
      <c r="F113" s="78"/>
      <c r="G113" s="79"/>
      <c r="H113" s="80"/>
      <c r="I113" s="80"/>
      <c r="J113" s="80"/>
      <c r="K113" s="81"/>
      <c r="L113" s="82"/>
      <c r="M113" s="80"/>
      <c r="N113" s="80"/>
      <c r="O113" s="80"/>
      <c r="P113" s="83"/>
      <c r="Q113" s="79"/>
      <c r="R113" s="80"/>
      <c r="S113" s="80"/>
      <c r="T113" s="80"/>
      <c r="U113" s="81"/>
      <c r="V113" s="82"/>
      <c r="W113" s="80"/>
      <c r="X113" s="80"/>
      <c r="Y113" s="80"/>
      <c r="Z113" s="83"/>
      <c r="AA113" s="79"/>
      <c r="AB113" s="80"/>
      <c r="AC113" s="80"/>
      <c r="AD113" s="83"/>
      <c r="AE113" s="81"/>
      <c r="AF113" s="98">
        <f t="shared" si="7"/>
      </c>
      <c r="AG113" s="99">
        <f t="shared" si="8"/>
      </c>
      <c r="AH113" s="100"/>
      <c r="AI113" s="85"/>
      <c r="AJ113" s="85"/>
      <c r="AK113" s="85"/>
      <c r="AL113" s="85"/>
      <c r="AM113" s="86"/>
      <c r="AQ113" s="1"/>
    </row>
    <row r="114" ht="21.9" customHeight="1" spans="1:43" x14ac:dyDescent="0.25">
      <c r="A114" s="101" t="s">
        <v>42</v>
      </c>
      <c r="B114" s="88"/>
      <c r="C114" s="88"/>
      <c r="D114" s="88"/>
      <c r="E114" s="88"/>
      <c r="F114" s="88"/>
      <c r="G114" s="102">
        <f t="shared" ref="G114:AE114" si="9">IF(G10="","",COUNTA($B$64:$B$113)-(COUNTIF(G64:G113,"x")+COUNTIF(G64:G113,"h")*0.5))</f>
      </c>
      <c r="H114" s="90">
        <f t="shared" si="9"/>
        <v>0</v>
      </c>
      <c r="I114" s="90">
        <f t="shared" si="9"/>
        <v>0</v>
      </c>
      <c r="J114" s="90">
        <f t="shared" si="9"/>
        <v>0</v>
      </c>
      <c r="K114" s="91">
        <f t="shared" si="9"/>
        <v>0</v>
      </c>
      <c r="L114" s="102">
        <f t="shared" si="9"/>
        <v>0</v>
      </c>
      <c r="M114" s="90">
        <f t="shared" si="9"/>
        <v>0</v>
      </c>
      <c r="N114" s="90">
        <f t="shared" si="9"/>
        <v>0</v>
      </c>
      <c r="O114" s="90">
        <f t="shared" si="9"/>
        <v>0</v>
      </c>
      <c r="P114" s="91">
        <f t="shared" si="9"/>
        <v>0</v>
      </c>
      <c r="Q114" s="102">
        <f t="shared" si="9"/>
        <v>0</v>
      </c>
      <c r="R114" s="90">
        <f t="shared" si="9"/>
        <v>0</v>
      </c>
      <c r="S114" s="90">
        <f t="shared" si="9"/>
        <v>0</v>
      </c>
      <c r="T114" s="90">
        <f t="shared" si="9"/>
        <v>0</v>
      </c>
      <c r="U114" s="91">
        <f t="shared" si="9"/>
        <v>0</v>
      </c>
      <c r="V114" s="102">
        <f t="shared" si="9"/>
        <v>0</v>
      </c>
      <c r="W114" s="90">
        <f t="shared" si="9"/>
        <v>0</v>
      </c>
      <c r="X114" s="90">
        <f t="shared" si="9"/>
        <v>0</v>
      </c>
      <c r="Y114" s="90">
        <f t="shared" si="9"/>
        <v>0</v>
      </c>
      <c r="Z114" s="91">
        <f t="shared" si="9"/>
        <v>0</v>
      </c>
      <c r="AA114" s="102">
        <f t="shared" si="9"/>
        <v>0</v>
      </c>
      <c r="AB114" s="90">
        <f t="shared" si="9"/>
        <v>0</v>
      </c>
      <c r="AC114" s="90">
        <f t="shared" si="9"/>
        <v>0</v>
      </c>
      <c r="AD114" s="90">
        <f t="shared" si="9"/>
        <v>0</v>
      </c>
      <c r="AE114" s="91">
        <f t="shared" si="9"/>
      </c>
      <c r="AF114" s="92">
        <f>SUM(AF64:AF113)</f>
        <v>0</v>
      </c>
      <c r="AG114" s="93">
        <f>SUM(AG64:AG113)</f>
        <v>0</v>
      </c>
      <c r="AH114" s="103"/>
      <c r="AI114" s="104"/>
      <c r="AJ114" s="104"/>
      <c r="AK114" s="104"/>
      <c r="AL114" s="104"/>
      <c r="AM114" s="105"/>
      <c r="AQ114" s="1"/>
    </row>
    <row r="115" ht="21.9" customHeight="1" spans="1:43" x14ac:dyDescent="0.25">
      <c r="A115" s="106" t="s">
        <v>43</v>
      </c>
      <c r="B115" s="106"/>
      <c r="C115" s="107"/>
      <c r="D115" s="107"/>
      <c r="E115" s="107"/>
      <c r="F115" s="107"/>
      <c r="G115" s="108">
        <f t="shared" ref="G115:AE115" si="10">IF(G10="","",G63+G114)</f>
      </c>
      <c r="H115" s="109">
        <f t="shared" si="10"/>
        <v>0</v>
      </c>
      <c r="I115" s="109">
        <f t="shared" si="10"/>
        <v>0</v>
      </c>
      <c r="J115" s="109">
        <f t="shared" si="10"/>
        <v>0</v>
      </c>
      <c r="K115" s="110">
        <f t="shared" si="10"/>
        <v>0</v>
      </c>
      <c r="L115" s="108">
        <f t="shared" si="10"/>
        <v>0</v>
      </c>
      <c r="M115" s="109">
        <f t="shared" si="10"/>
        <v>0</v>
      </c>
      <c r="N115" s="109">
        <f t="shared" si="10"/>
        <v>0</v>
      </c>
      <c r="O115" s="109">
        <f t="shared" si="10"/>
        <v>0</v>
      </c>
      <c r="P115" s="110">
        <f t="shared" si="10"/>
        <v>0</v>
      </c>
      <c r="Q115" s="108">
        <f t="shared" si="10"/>
        <v>0</v>
      </c>
      <c r="R115" s="109">
        <f t="shared" si="10"/>
        <v>0</v>
      </c>
      <c r="S115" s="109">
        <f t="shared" si="10"/>
        <v>0</v>
      </c>
      <c r="T115" s="109">
        <f t="shared" si="10"/>
        <v>0</v>
      </c>
      <c r="U115" s="110">
        <f t="shared" si="10"/>
        <v>0</v>
      </c>
      <c r="V115" s="108">
        <f t="shared" si="10"/>
        <v>0</v>
      </c>
      <c r="W115" s="109">
        <f t="shared" si="10"/>
        <v>0</v>
      </c>
      <c r="X115" s="109">
        <f t="shared" si="10"/>
        <v>0</v>
      </c>
      <c r="Y115" s="109">
        <f t="shared" si="10"/>
        <v>0</v>
      </c>
      <c r="Z115" s="110">
        <f t="shared" si="10"/>
        <v>0</v>
      </c>
      <c r="AA115" s="108">
        <f t="shared" si="10"/>
        <v>0</v>
      </c>
      <c r="AB115" s="109">
        <f t="shared" si="10"/>
        <v>0</v>
      </c>
      <c r="AC115" s="109">
        <f t="shared" si="10"/>
        <v>0</v>
      </c>
      <c r="AD115" s="109">
        <f t="shared" si="10"/>
        <v>0</v>
      </c>
      <c r="AE115" s="110">
        <f t="shared" si="10"/>
      </c>
      <c r="AF115" s="111">
        <f>AF63+AF114</f>
        <v>0</v>
      </c>
      <c r="AG115" s="112">
        <f>AG63+AG114</f>
        <v>0</v>
      </c>
      <c r="AH115" s="113"/>
      <c r="AI115" s="114"/>
      <c r="AJ115" s="114"/>
      <c r="AK115" s="114"/>
      <c r="AL115" s="114"/>
      <c r="AM115" s="115"/>
      <c r="AQ115" s="1"/>
    </row>
    <row r="116" ht="6.75" customHeight="1" spans="1:43" x14ac:dyDescent="0.25">
      <c r="A116" s="116"/>
      <c r="B116" s="116"/>
      <c r="C116" s="116"/>
      <c r="D116" s="116"/>
      <c r="E116" s="116"/>
      <c r="F116" s="116"/>
      <c r="G116" s="117"/>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18" t="s">
        <v>44</v>
      </c>
      <c r="B117" s="119"/>
      <c r="C117" s="119"/>
      <c r="D117" s="119"/>
      <c r="E117" s="119"/>
      <c r="F117" s="119"/>
      <c r="G117" s="120"/>
      <c r="H117" s="120"/>
      <c r="I117" s="120"/>
      <c r="J117" s="120"/>
      <c r="K117" s="120"/>
      <c r="L117" s="120"/>
      <c r="M117" s="120"/>
      <c r="N117" s="120"/>
      <c r="O117" s="120"/>
      <c r="P117" s="120"/>
      <c r="Q117" s="120"/>
      <c r="R117" s="120"/>
      <c r="S117" s="121"/>
      <c r="T117" s="122" t="s">
        <v>45</v>
      </c>
      <c r="U117" s="123"/>
      <c r="V117" s="123"/>
      <c r="W117" s="123"/>
      <c r="X117" s="123"/>
      <c r="Y117" s="124"/>
      <c r="Z117" s="124"/>
      <c r="AA117" s="124"/>
      <c r="AB117" s="125"/>
      <c r="AC117" s="126"/>
      <c r="AD117" s="1"/>
      <c r="AE117" s="127" t="s">
        <v>46</v>
      </c>
      <c r="AF117" s="128"/>
      <c r="AG117" s="129">
        <f>AA6</f>
        <v>NaN</v>
      </c>
      <c r="AH117" s="130" t="s">
        <v>47</v>
      </c>
      <c r="AI117" s="131"/>
      <c r="AJ117" s="132">
        <f>AQ9</f>
        <v>23</v>
      </c>
      <c r="AK117" s="133" t="s">
        <v>48</v>
      </c>
      <c r="AL117" s="133"/>
      <c r="AM117" s="134"/>
      <c r="AQ117" s="1"/>
    </row>
    <row r="118" ht="15" customHeight="1" spans="1:43" x14ac:dyDescent="0.25">
      <c r="A118" s="135" t="s">
        <v>49</v>
      </c>
      <c r="B118" s="135"/>
      <c r="C118" s="135"/>
      <c r="D118" s="135"/>
      <c r="E118" s="135"/>
      <c r="F118" s="135"/>
      <c r="G118" s="135"/>
      <c r="H118" s="1"/>
      <c r="I118" s="1"/>
      <c r="J118" s="1"/>
      <c r="K118" s="1"/>
      <c r="L118" s="1"/>
      <c r="M118" s="1"/>
      <c r="N118" s="1"/>
      <c r="O118" s="1"/>
      <c r="P118" s="1"/>
      <c r="Q118" s="1"/>
      <c r="R118" s="120"/>
      <c r="S118" s="121"/>
      <c r="T118" s="136" t="s">
        <v>50</v>
      </c>
      <c r="U118" s="1"/>
      <c r="V118" s="1"/>
      <c r="W118" s="1"/>
      <c r="X118" s="1"/>
      <c r="Y118" s="1"/>
      <c r="Z118" s="1"/>
      <c r="AA118" s="1"/>
      <c r="AB118" s="1"/>
      <c r="AC118" s="138"/>
      <c r="AD118" s="1"/>
      <c r="AE118" s="139"/>
      <c r="AF118" s="140"/>
      <c r="AG118" s="141"/>
      <c r="AH118" s="142"/>
      <c r="AI118" s="143"/>
      <c r="AJ118" s="144"/>
      <c r="AK118" s="145" t="s">
        <v>16</v>
      </c>
      <c r="AL118" s="146" t="s">
        <v>20</v>
      </c>
      <c r="AM118" s="147" t="s">
        <v>51</v>
      </c>
      <c r="AQ118" s="1"/>
    </row>
    <row r="119" ht="15.5" customHeight="1" spans="1:43" x14ac:dyDescent="0.25">
      <c r="A119" s="135" t="s">
        <v>52</v>
      </c>
      <c r="B119" s="135"/>
      <c r="C119" s="135"/>
      <c r="D119" s="135"/>
      <c r="E119" s="135"/>
      <c r="F119" s="135"/>
      <c r="G119" s="135"/>
      <c r="H119" s="1"/>
      <c r="I119" s="1"/>
      <c r="J119" s="1"/>
      <c r="K119" s="1"/>
      <c r="L119" s="1"/>
      <c r="M119" s="1"/>
      <c r="N119" s="1"/>
      <c r="O119" s="1"/>
      <c r="P119" s="1"/>
      <c r="Q119" s="1"/>
      <c r="R119" s="120"/>
      <c r="S119" s="121"/>
      <c r="T119" s="1"/>
      <c r="U119" s="1"/>
      <c r="V119" s="1"/>
      <c r="W119" s="1"/>
      <c r="X119" s="1"/>
      <c r="Y119" s="1"/>
      <c r="Z119" s="1"/>
      <c r="AA119" s="1"/>
      <c r="AB119" s="1"/>
      <c r="AC119" s="138"/>
      <c r="AD119" s="1"/>
      <c r="AE119" s="149" t="s">
        <v>53</v>
      </c>
      <c r="AF119" s="150"/>
      <c r="AG119" s="150"/>
      <c r="AH119" s="150"/>
      <c r="AI119" s="150"/>
      <c r="AJ119" s="151"/>
      <c r="AK119" s="152"/>
      <c r="AL119" s="152"/>
      <c r="AM119" s="153">
        <f t="shared" ref="AM119:AM123" si="11">AK119+AL119</f>
        <v>0</v>
      </c>
      <c r="AQ119" s="1"/>
    </row>
    <row r="120" ht="15.75" customHeight="1" spans="1:43" x14ac:dyDescent="0.25">
      <c r="A120" s="135" t="s">
        <v>54</v>
      </c>
      <c r="B120" s="135"/>
      <c r="C120" s="135"/>
      <c r="D120" s="135"/>
      <c r="E120" s="135"/>
      <c r="F120" s="135"/>
      <c r="G120" s="135"/>
      <c r="H120" s="1"/>
      <c r="I120" s="1"/>
      <c r="J120" s="1"/>
      <c r="K120" s="1"/>
      <c r="L120" s="1"/>
      <c r="M120" s="1"/>
      <c r="N120" s="1"/>
      <c r="O120" s="1"/>
      <c r="P120" s="1"/>
      <c r="Q120" s="1"/>
      <c r="R120" s="120"/>
      <c r="S120" s="121"/>
      <c r="T120" s="1"/>
      <c r="U120" s="1"/>
      <c r="V120" s="1"/>
      <c r="W120" s="1"/>
      <c r="X120" s="1"/>
      <c r="Y120" s="1"/>
      <c r="Z120" s="1"/>
      <c r="AA120" s="1"/>
      <c r="AB120" s="1"/>
      <c r="AC120" s="138"/>
      <c r="AD120" s="1"/>
      <c r="AE120" s="154"/>
      <c r="AF120" s="155"/>
      <c r="AG120" s="155"/>
      <c r="AH120" s="155"/>
      <c r="AI120" s="155"/>
      <c r="AJ120" s="156"/>
      <c r="AK120" s="31"/>
      <c r="AL120" s="31"/>
      <c r="AM120" s="157"/>
      <c r="AQ120" s="1"/>
    </row>
    <row r="121" ht="15.75" customHeight="1" spans="1:43" x14ac:dyDescent="0.25">
      <c r="A121" s="158" t="s">
        <v>55</v>
      </c>
      <c r="B121" s="159" t="s">
        <v>56</v>
      </c>
      <c r="C121" s="159"/>
      <c r="D121" s="159"/>
      <c r="E121" s="159"/>
      <c r="F121" s="159"/>
      <c r="G121" s="160" t="s">
        <v>57</v>
      </c>
      <c r="H121" s="1"/>
      <c r="I121" s="1"/>
      <c r="J121" s="1"/>
      <c r="K121" s="1"/>
      <c r="L121" s="1"/>
      <c r="M121" s="1"/>
      <c r="N121" s="1"/>
      <c r="O121" s="1"/>
      <c r="P121" s="1"/>
      <c r="Q121" s="161" t="s">
        <v>58</v>
      </c>
      <c r="R121" s="1"/>
      <c r="S121" s="121"/>
      <c r="T121" s="162" t="s">
        <v>59</v>
      </c>
      <c r="U121" s="1"/>
      <c r="V121" s="1"/>
      <c r="W121" s="1"/>
      <c r="X121" s="1"/>
      <c r="Y121" s="3"/>
      <c r="Z121" s="1"/>
      <c r="AA121" s="1"/>
      <c r="AB121" s="163"/>
      <c r="AC121" s="138"/>
      <c r="AD121" s="1"/>
      <c r="AE121" s="164" t="s">
        <v>60</v>
      </c>
      <c r="AF121" s="165"/>
      <c r="AG121" s="165"/>
      <c r="AH121" s="165"/>
      <c r="AI121" s="165"/>
      <c r="AJ121" s="165"/>
      <c r="AK121" s="166">
        <v>0</v>
      </c>
      <c r="AL121" s="166">
        <v>0</v>
      </c>
      <c r="AM121" s="167">
        <f t="shared" si="11"/>
        <v>0</v>
      </c>
      <c r="AQ121" s="1"/>
    </row>
    <row r="122" ht="15.75" customHeight="1" spans="1:43" x14ac:dyDescent="0.25">
      <c r="A122" s="158"/>
      <c r="B122" s="159"/>
      <c r="C122" s="159"/>
      <c r="D122" s="159"/>
      <c r="E122" s="159"/>
      <c r="F122" s="159"/>
      <c r="G122" s="168" t="s">
        <v>61</v>
      </c>
      <c r="H122" s="1"/>
      <c r="I122" s="1"/>
      <c r="J122" s="1"/>
      <c r="K122" s="1"/>
      <c r="L122" s="1"/>
      <c r="M122" s="1"/>
      <c r="N122" s="1"/>
      <c r="O122" s="1"/>
      <c r="P122" s="1"/>
      <c r="Q122" s="1"/>
      <c r="R122" s="1"/>
      <c r="S122" s="121"/>
      <c r="T122" s="162" t="s">
        <v>62</v>
      </c>
      <c r="U122" s="3"/>
      <c r="V122" s="3"/>
      <c r="W122" s="3"/>
      <c r="X122" s="3"/>
      <c r="Y122" s="3"/>
      <c r="Z122" s="1"/>
      <c r="AA122" s="1"/>
      <c r="AB122" s="163"/>
      <c r="AC122" s="138"/>
      <c r="AD122" s="1"/>
      <c r="AE122" s="164"/>
      <c r="AF122" s="165"/>
      <c r="AG122" s="165"/>
      <c r="AH122" s="165"/>
      <c r="AI122" s="165"/>
      <c r="AJ122" s="165"/>
      <c r="AK122" s="166"/>
      <c r="AL122" s="166"/>
      <c r="AM122" s="167"/>
      <c r="AQ122" s="1"/>
    </row>
    <row r="123" ht="18" customHeight="1" spans="1:43" x14ac:dyDescent="0.25">
      <c r="A123" s="158" t="s">
        <v>63</v>
      </c>
      <c r="B123" s="169" t="s">
        <v>64</v>
      </c>
      <c r="C123" s="169"/>
      <c r="D123" s="169"/>
      <c r="E123" s="169"/>
      <c r="F123" s="169"/>
      <c r="G123" s="170" t="s">
        <v>65</v>
      </c>
      <c r="H123" s="1"/>
      <c r="I123" s="1"/>
      <c r="J123" s="1"/>
      <c r="K123" s="1"/>
      <c r="L123" s="1"/>
      <c r="M123" s="1"/>
      <c r="N123" s="1"/>
      <c r="O123" s="1"/>
      <c r="P123" s="1"/>
      <c r="Q123" s="171"/>
      <c r="R123" s="120"/>
      <c r="S123" s="121"/>
      <c r="T123" s="172" t="s">
        <v>66</v>
      </c>
      <c r="U123" s="3"/>
      <c r="V123" s="3"/>
      <c r="W123" s="3"/>
      <c r="X123" s="3"/>
      <c r="Y123" s="3"/>
      <c r="Z123" s="1"/>
      <c r="AA123" s="1"/>
      <c r="AB123" s="163"/>
      <c r="AC123" s="138"/>
      <c r="AD123" s="1"/>
      <c r="AE123" s="164" t="s">
        <v>67</v>
      </c>
      <c r="AF123" s="165"/>
      <c r="AG123" s="165"/>
      <c r="AH123" s="165"/>
      <c r="AI123" s="165"/>
      <c r="AJ123" s="165"/>
      <c r="AK123" s="173">
        <f>COUNTA($B$13:$B$62)</f>
        <v>0</v>
      </c>
      <c r="AL123" s="173">
        <f>COUNTA($B$64:$B$113)</f>
        <v>0</v>
      </c>
      <c r="AM123" s="153">
        <f t="shared" si="11"/>
        <v>0</v>
      </c>
      <c r="AQ123" s="1"/>
    </row>
    <row r="124" ht="14.25" customHeight="1" spans="1:43" x14ac:dyDescent="0.25">
      <c r="A124" s="158"/>
      <c r="B124" s="169"/>
      <c r="C124" s="169"/>
      <c r="D124" s="169"/>
      <c r="E124" s="169"/>
      <c r="F124" s="169"/>
      <c r="G124" s="168" t="s">
        <v>68</v>
      </c>
      <c r="H124" s="1"/>
      <c r="I124" s="1"/>
      <c r="J124" s="1"/>
      <c r="K124" s="1"/>
      <c r="L124" s="1"/>
      <c r="M124" s="1"/>
      <c r="N124" s="1"/>
      <c r="O124" s="1"/>
      <c r="P124" s="1"/>
      <c r="Q124" s="120"/>
      <c r="R124" s="120"/>
      <c r="S124" s="121"/>
      <c r="T124" s="172" t="s">
        <v>69</v>
      </c>
      <c r="U124" s="1"/>
      <c r="V124" s="1"/>
      <c r="W124" s="1"/>
      <c r="X124" s="1"/>
      <c r="Y124" s="3"/>
      <c r="Z124" s="1"/>
      <c r="AA124" s="1"/>
      <c r="AB124" s="163"/>
      <c r="AC124" s="138"/>
      <c r="AD124" s="1"/>
      <c r="AE124" s="164"/>
      <c r="AF124" s="165"/>
      <c r="AG124" s="165"/>
      <c r="AH124" s="165"/>
      <c r="AI124" s="165"/>
      <c r="AJ124" s="165"/>
      <c r="AK124" s="174"/>
      <c r="AL124" s="174"/>
      <c r="AM124" s="157"/>
      <c r="AQ124" s="1"/>
    </row>
    <row r="125" ht="15.75" customHeight="1" spans="1:43" x14ac:dyDescent="0.25">
      <c r="A125" s="175" t="s">
        <v>70</v>
      </c>
      <c r="B125" s="159" t="s">
        <v>71</v>
      </c>
      <c r="C125" s="159"/>
      <c r="D125" s="159"/>
      <c r="E125" s="159"/>
      <c r="F125" s="159"/>
      <c r="G125" s="160" t="s">
        <v>72</v>
      </c>
      <c r="H125" s="1"/>
      <c r="I125" s="1"/>
      <c r="J125" s="1"/>
      <c r="K125" s="1"/>
      <c r="L125" s="1"/>
      <c r="M125" s="1"/>
      <c r="N125" s="1"/>
      <c r="O125" s="1"/>
      <c r="P125" s="1"/>
      <c r="Q125" s="161" t="s">
        <v>58</v>
      </c>
      <c r="R125" s="1"/>
      <c r="S125" s="121"/>
      <c r="T125" s="172" t="s">
        <v>73</v>
      </c>
      <c r="U125" s="1"/>
      <c r="V125" s="1"/>
      <c r="W125" s="1"/>
      <c r="X125" s="1"/>
      <c r="Y125" s="1"/>
      <c r="Z125" s="1"/>
      <c r="AA125" s="1"/>
      <c r="AB125" s="163"/>
      <c r="AC125" s="138"/>
      <c r="AD125" s="1"/>
      <c r="AE125" s="176" t="s">
        <v>74</v>
      </c>
      <c r="AF125" s="177"/>
      <c r="AG125" s="177"/>
      <c r="AH125" s="177"/>
      <c r="AI125" s="177"/>
      <c r="AJ125" s="177"/>
      <c r="AK125" s="178" t="e">
        <f t="shared" ref="AK125:AM125" si="12">AK123/AK119</f>
        <v>#DIV/0!</v>
      </c>
      <c r="AL125" s="178" t="e">
        <f t="shared" si="12"/>
        <v>#DIV/0!</v>
      </c>
      <c r="AM125" s="179" t="e">
        <f t="shared" si="12"/>
        <v>#DIV/0!</v>
      </c>
      <c r="AQ125" s="1"/>
    </row>
    <row r="126" ht="19.5" customHeight="1" spans="1:43" x14ac:dyDescent="0.25">
      <c r="A126" s="175"/>
      <c r="B126" s="159"/>
      <c r="C126" s="159"/>
      <c r="D126" s="159"/>
      <c r="E126" s="159"/>
      <c r="F126" s="159"/>
      <c r="G126" s="161" t="s">
        <v>75</v>
      </c>
      <c r="H126" s="1"/>
      <c r="I126" s="1"/>
      <c r="J126" s="1"/>
      <c r="K126" s="1"/>
      <c r="L126" s="1"/>
      <c r="M126" s="1"/>
      <c r="N126" s="1"/>
      <c r="O126" s="1"/>
      <c r="P126" s="1"/>
      <c r="Q126" s="1"/>
      <c r="R126" s="1"/>
      <c r="S126" s="121"/>
      <c r="T126" s="172" t="s">
        <v>76</v>
      </c>
      <c r="U126" s="1"/>
      <c r="V126" s="1"/>
      <c r="W126" s="1"/>
      <c r="X126" s="1"/>
      <c r="Y126" s="1"/>
      <c r="Z126" s="1"/>
      <c r="AA126" s="1"/>
      <c r="AB126" s="163"/>
      <c r="AC126" s="138"/>
      <c r="AD126" s="1"/>
      <c r="AE126" s="176"/>
      <c r="AF126" s="177"/>
      <c r="AG126" s="177"/>
      <c r="AH126" s="177"/>
      <c r="AI126" s="177"/>
      <c r="AJ126" s="177"/>
      <c r="AK126" s="180"/>
      <c r="AL126" s="180"/>
      <c r="AM126" s="181"/>
      <c r="AQ126" s="1"/>
    </row>
    <row r="127" ht="26.25" customHeight="1" spans="1:43" x14ac:dyDescent="0.25">
      <c r="A127" s="135"/>
      <c r="B127" s="135"/>
      <c r="C127" s="135"/>
      <c r="D127" s="135"/>
      <c r="E127" s="135"/>
      <c r="F127" s="135"/>
      <c r="G127" s="135"/>
      <c r="H127" s="1"/>
      <c r="I127" s="1"/>
      <c r="J127" s="1"/>
      <c r="K127" s="1"/>
      <c r="L127" s="1"/>
      <c r="M127" s="1"/>
      <c r="N127" s="1"/>
      <c r="O127" s="1"/>
      <c r="P127" s="161"/>
      <c r="Q127" s="161"/>
      <c r="R127" s="120"/>
      <c r="S127" s="121"/>
      <c r="T127" s="162" t="s">
        <v>77</v>
      </c>
      <c r="U127" s="1"/>
      <c r="V127" s="1"/>
      <c r="W127" s="1"/>
      <c r="X127" s="1"/>
      <c r="Y127" s="1"/>
      <c r="Z127" s="1"/>
      <c r="AA127" s="1"/>
      <c r="AB127" s="3"/>
      <c r="AC127" s="138"/>
      <c r="AD127" s="1"/>
      <c r="AE127" s="182" t="s">
        <v>78</v>
      </c>
      <c r="AF127" s="183"/>
      <c r="AG127" s="183"/>
      <c r="AH127" s="183"/>
      <c r="AI127" s="183"/>
      <c r="AJ127" s="183"/>
      <c r="AK127" s="184">
        <f>AG63/AJ117</f>
        <v>0</v>
      </c>
      <c r="AL127" s="184">
        <f>AG114/AJ117</f>
        <v>0</v>
      </c>
      <c r="AM127" s="185">
        <f>AG115/AJ117</f>
        <v>0</v>
      </c>
      <c r="AQ127" s="1"/>
    </row>
    <row r="128" ht="16.5" customHeight="1" spans="1:43" x14ac:dyDescent="0.25">
      <c r="A128" s="186" t="s">
        <v>79</v>
      </c>
      <c r="B128" s="186"/>
      <c r="C128" s="186"/>
      <c r="D128" s="186"/>
      <c r="E128" s="186"/>
      <c r="F128" s="186"/>
      <c r="G128" s="186"/>
      <c r="H128" s="1"/>
      <c r="I128" s="1"/>
      <c r="J128" s="1"/>
      <c r="K128" s="1"/>
      <c r="L128" s="1"/>
      <c r="M128" s="1"/>
      <c r="N128" s="1"/>
      <c r="O128" s="1"/>
      <c r="P128" s="1"/>
      <c r="Q128" s="1"/>
      <c r="R128" s="171"/>
      <c r="S128" s="121"/>
      <c r="T128" s="172" t="s">
        <v>80</v>
      </c>
      <c r="U128" s="1"/>
      <c r="V128" s="1"/>
      <c r="W128" s="1"/>
      <c r="X128" s="1"/>
      <c r="Y128" s="1"/>
      <c r="Z128" s="1"/>
      <c r="AA128" s="1"/>
      <c r="AB128" s="163"/>
      <c r="AC128" s="138"/>
      <c r="AD128" s="1"/>
      <c r="AE128" s="164" t="s">
        <v>81</v>
      </c>
      <c r="AF128" s="165"/>
      <c r="AG128" s="165"/>
      <c r="AH128" s="165"/>
      <c r="AI128" s="165"/>
      <c r="AJ128" s="165"/>
      <c r="AK128" s="187" t="e">
        <f t="shared" ref="AK128:AM128" si="13">AK127/AK123</f>
        <v>#DIV/0!</v>
      </c>
      <c r="AL128" s="187" t="e">
        <f t="shared" si="13"/>
        <v>#DIV/0!</v>
      </c>
      <c r="AM128" s="188" t="e">
        <f t="shared" si="13"/>
        <v>#DIV/0!</v>
      </c>
      <c r="AQ128" s="1"/>
    </row>
    <row r="129" ht="15.75" customHeight="1" spans="1:43" x14ac:dyDescent="0.25">
      <c r="A129" s="186"/>
      <c r="B129" s="186"/>
      <c r="C129" s="186"/>
      <c r="D129" s="186"/>
      <c r="E129" s="186"/>
      <c r="F129" s="186"/>
      <c r="G129" s="186"/>
      <c r="H129" s="1"/>
      <c r="I129" s="1"/>
      <c r="J129" s="1"/>
      <c r="K129" s="1"/>
      <c r="L129" s="1"/>
      <c r="M129" s="1"/>
      <c r="N129" s="1"/>
      <c r="O129" s="1"/>
      <c r="P129" s="1"/>
      <c r="Q129" s="1"/>
      <c r="R129" s="171"/>
      <c r="S129" s="121"/>
      <c r="T129" s="172" t="s">
        <v>82</v>
      </c>
      <c r="U129" s="1"/>
      <c r="V129" s="1"/>
      <c r="W129" s="1"/>
      <c r="X129" s="1"/>
      <c r="Y129" s="1"/>
      <c r="Z129" s="1"/>
      <c r="AA129" s="1"/>
      <c r="AB129" s="163"/>
      <c r="AC129" s="138"/>
      <c r="AD129" s="1"/>
      <c r="AE129" s="164"/>
      <c r="AF129" s="165"/>
      <c r="AG129" s="165"/>
      <c r="AH129" s="165"/>
      <c r="AI129" s="165"/>
      <c r="AJ129" s="165"/>
      <c r="AK129" s="174"/>
      <c r="AL129" s="187"/>
      <c r="AM129" s="188"/>
      <c r="AQ129" s="1"/>
    </row>
    <row r="130" ht="15.75" customHeight="1" spans="1:43" x14ac:dyDescent="0.25">
      <c r="A130" s="189" t="s">
        <v>83</v>
      </c>
      <c r="B130" s="189"/>
      <c r="C130" s="189"/>
      <c r="D130" s="189"/>
      <c r="E130" s="189"/>
      <c r="F130" s="189"/>
      <c r="G130" s="189"/>
      <c r="H130" s="1"/>
      <c r="I130" s="1"/>
      <c r="J130" s="1"/>
      <c r="K130" s="1"/>
      <c r="L130" s="1"/>
      <c r="M130" s="1"/>
      <c r="N130" s="1"/>
      <c r="O130" s="1"/>
      <c r="P130" s="1"/>
      <c r="Q130" s="1"/>
      <c r="R130" s="1"/>
      <c r="S130" s="121"/>
      <c r="T130" s="172" t="s">
        <v>84</v>
      </c>
      <c r="U130" s="1"/>
      <c r="V130" s="1"/>
      <c r="W130" s="1"/>
      <c r="X130" s="1"/>
      <c r="Y130" s="1"/>
      <c r="Z130" s="1"/>
      <c r="AA130" s="1"/>
      <c r="AB130" s="163"/>
      <c r="AC130" s="138"/>
      <c r="AD130" s="190"/>
      <c r="AE130" s="164" t="s">
        <v>85</v>
      </c>
      <c r="AF130" s="165"/>
      <c r="AG130" s="165"/>
      <c r="AH130" s="165"/>
      <c r="AI130" s="165"/>
      <c r="AJ130" s="165"/>
      <c r="AK130" s="191">
        <v>0</v>
      </c>
      <c r="AL130" s="191">
        <v>0</v>
      </c>
      <c r="AM130" s="192">
        <f t="shared" ref="AM130:AM134" si="14">AK130+AL130</f>
        <v>0</v>
      </c>
      <c r="AQ130" s="1"/>
    </row>
    <row r="131" ht="16.5" customHeight="1" spans="1:43" x14ac:dyDescent="0.25">
      <c r="A131" s="189"/>
      <c r="B131" s="189"/>
      <c r="C131" s="189"/>
      <c r="D131" s="189"/>
      <c r="E131" s="189"/>
      <c r="F131" s="189"/>
      <c r="G131" s="189"/>
      <c r="H131" s="1"/>
      <c r="I131" s="1"/>
      <c r="J131" s="1"/>
      <c r="K131" s="1"/>
      <c r="L131" s="1"/>
      <c r="M131" s="1"/>
      <c r="N131" s="1"/>
      <c r="O131" s="1"/>
      <c r="P131" s="1"/>
      <c r="Q131" s="1"/>
      <c r="R131" s="1"/>
      <c r="S131" s="121"/>
      <c r="T131" s="172" t="s">
        <v>86</v>
      </c>
      <c r="U131" s="1"/>
      <c r="V131" s="1"/>
      <c r="W131" s="1"/>
      <c r="X131" s="1"/>
      <c r="Y131" s="1"/>
      <c r="Z131" s="1"/>
      <c r="AA131" s="1"/>
      <c r="AB131" s="3"/>
      <c r="AC131" s="138"/>
      <c r="AD131" s="1"/>
      <c r="AE131" s="164"/>
      <c r="AF131" s="165"/>
      <c r="AG131" s="165"/>
      <c r="AH131" s="165"/>
      <c r="AI131" s="165"/>
      <c r="AJ131" s="165"/>
      <c r="AK131" s="152"/>
      <c r="AL131" s="152"/>
      <c r="AM131" s="153"/>
      <c r="AQ131" s="1"/>
    </row>
    <row r="132" ht="14.25" customHeight="1" spans="1:43" x14ac:dyDescent="0.25">
      <c r="A132" s="120" t="s">
        <v>87</v>
      </c>
      <c r="B132" s="186"/>
      <c r="C132" s="186"/>
      <c r="D132" s="186"/>
      <c r="E132" s="186"/>
      <c r="F132" s="186"/>
      <c r="G132" s="193"/>
      <c r="H132" s="193"/>
      <c r="I132" s="193"/>
      <c r="J132" s="193"/>
      <c r="K132" s="193"/>
      <c r="L132" s="193"/>
      <c r="M132" s="193"/>
      <c r="N132" s="193"/>
      <c r="O132" s="193"/>
      <c r="P132" s="193"/>
      <c r="Q132" s="193"/>
      <c r="R132" s="171"/>
      <c r="S132" s="121"/>
      <c r="T132" s="172" t="s">
        <v>88</v>
      </c>
      <c r="U132" s="1"/>
      <c r="V132" s="1"/>
      <c r="W132" s="1"/>
      <c r="X132" s="1"/>
      <c r="Y132" s="1"/>
      <c r="Z132" s="1"/>
      <c r="AA132" s="1"/>
      <c r="AB132" s="163"/>
      <c r="AC132" s="138"/>
      <c r="AD132" s="1"/>
      <c r="AE132" s="194" t="s">
        <v>89</v>
      </c>
      <c r="AF132" s="195"/>
      <c r="AG132" s="195"/>
      <c r="AH132" s="195"/>
      <c r="AI132" s="195"/>
      <c r="AJ132" s="195"/>
      <c r="AK132" s="196">
        <f>COUNTIF(AH13:AI62,"NLS")</f>
        <v>0</v>
      </c>
      <c r="AL132" s="196">
        <f>COUNTIF(AH64:AI113,"NLS")</f>
        <v>0</v>
      </c>
      <c r="AM132" s="167">
        <f t="shared" si="14"/>
        <v>0</v>
      </c>
      <c r="AQ132" s="1"/>
    </row>
    <row r="133" ht="15.75" customHeight="1" spans="1:43" x14ac:dyDescent="0.25">
      <c r="A133" s="158" t="s">
        <v>90</v>
      </c>
      <c r="B133" s="189" t="s">
        <v>91</v>
      </c>
      <c r="C133" s="189"/>
      <c r="D133" s="189"/>
      <c r="E133" s="189"/>
      <c r="F133" s="189"/>
      <c r="G133" s="189"/>
      <c r="H133" s="1"/>
      <c r="I133" s="1"/>
      <c r="J133" s="1"/>
      <c r="K133" s="1"/>
      <c r="L133" s="1"/>
      <c r="M133" s="1"/>
      <c r="N133" s="1"/>
      <c r="O133" s="1"/>
      <c r="P133" s="1"/>
      <c r="Q133" s="1"/>
      <c r="R133" s="120"/>
      <c r="S133" s="121"/>
      <c r="T133" s="172" t="s">
        <v>92</v>
      </c>
      <c r="U133" s="1"/>
      <c r="V133" s="1"/>
      <c r="W133" s="1"/>
      <c r="X133" s="1"/>
      <c r="Y133" s="1"/>
      <c r="Z133" s="1"/>
      <c r="AA133" s="1"/>
      <c r="AB133" s="3"/>
      <c r="AC133" s="138"/>
      <c r="AD133" s="1"/>
      <c r="AE133" s="194"/>
      <c r="AF133" s="195"/>
      <c r="AG133" s="195"/>
      <c r="AH133" s="195"/>
      <c r="AI133" s="195"/>
      <c r="AJ133" s="195"/>
      <c r="AK133" s="196"/>
      <c r="AL133" s="196"/>
      <c r="AM133" s="167"/>
      <c r="AQ133" s="1"/>
    </row>
    <row r="134" ht="15.75" customHeight="1" spans="7:43" x14ac:dyDescent="0.25">
      <c r="G134" s="119"/>
      <c r="H134" s="119"/>
      <c r="I134" s="119"/>
      <c r="J134" s="119"/>
      <c r="K134" s="197"/>
      <c r="L134" s="197"/>
      <c r="M134" s="197"/>
      <c r="N134" s="197"/>
      <c r="O134" s="1"/>
      <c r="P134" s="1"/>
      <c r="Q134" s="1"/>
      <c r="R134" s="1"/>
      <c r="S134" s="121"/>
      <c r="T134" s="172" t="s">
        <v>93</v>
      </c>
      <c r="U134" s="1"/>
      <c r="V134" s="1"/>
      <c r="W134" s="1"/>
      <c r="X134" s="1"/>
      <c r="Y134" s="1"/>
      <c r="Z134" s="1"/>
      <c r="AA134" s="1"/>
      <c r="AB134" s="1"/>
      <c r="AC134" s="138"/>
      <c r="AD134" s="1"/>
      <c r="AE134" s="194" t="s">
        <v>94</v>
      </c>
      <c r="AF134" s="195"/>
      <c r="AG134" s="195"/>
      <c r="AH134" s="195"/>
      <c r="AI134" s="195"/>
      <c r="AJ134" s="195"/>
      <c r="AK134" s="174">
        <f>COUNTIF(AH13:AI62,"Transferred Out")</f>
        <v>0</v>
      </c>
      <c r="AL134" s="174">
        <f>COUNTIF(AH64:AI113,"Transferred Out")</f>
        <v>0</v>
      </c>
      <c r="AM134" s="157">
        <f t="shared" si="14"/>
        <v>0</v>
      </c>
      <c r="AQ134" s="1"/>
    </row>
    <row r="135" ht="14.25" customHeight="1" spans="2:43" x14ac:dyDescent="0.25">
      <c r="B135" s="119"/>
      <c r="C135" s="119"/>
      <c r="D135" s="119"/>
      <c r="E135" s="119"/>
      <c r="F135" s="119"/>
      <c r="G135" s="119"/>
      <c r="H135" s="119"/>
      <c r="I135" s="119"/>
      <c r="J135" s="119"/>
      <c r="K135" s="1"/>
      <c r="L135" s="1"/>
      <c r="M135" s="1"/>
      <c r="N135" s="1"/>
      <c r="O135" s="1"/>
      <c r="P135" s="1"/>
      <c r="Q135" s="1"/>
      <c r="R135" s="1"/>
      <c r="S135" s="121"/>
      <c r="T135" s="162" t="s">
        <v>95</v>
      </c>
      <c r="U135" s="1"/>
      <c r="V135" s="1"/>
      <c r="W135" s="1"/>
      <c r="X135" s="1"/>
      <c r="Y135" s="1"/>
      <c r="Z135" s="163"/>
      <c r="AA135" s="163"/>
      <c r="AB135" s="163"/>
      <c r="AC135" s="138"/>
      <c r="AD135" s="1"/>
      <c r="AE135" s="194"/>
      <c r="AF135" s="195"/>
      <c r="AG135" s="195"/>
      <c r="AH135" s="195"/>
      <c r="AI135" s="195"/>
      <c r="AJ135" s="195"/>
      <c r="AK135" s="174"/>
      <c r="AL135" s="174"/>
      <c r="AM135" s="157"/>
      <c r="AQ135" s="1"/>
    </row>
    <row r="136" ht="15" customHeight="1" spans="2:43" x14ac:dyDescent="0.25">
      <c r="B136" s="198"/>
      <c r="C136" s="198"/>
      <c r="D136" s="198"/>
      <c r="E136" s="198"/>
      <c r="F136" s="198"/>
      <c r="G136" s="198"/>
      <c r="H136" s="1"/>
      <c r="I136" s="1"/>
      <c r="J136" s="1"/>
      <c r="K136" s="1"/>
      <c r="L136" s="1"/>
      <c r="M136" s="1"/>
      <c r="N136" s="1"/>
      <c r="O136" s="1"/>
      <c r="P136" s="1"/>
      <c r="Q136" s="1"/>
      <c r="R136" s="1"/>
      <c r="S136" s="121"/>
      <c r="T136" s="172" t="s">
        <v>96</v>
      </c>
      <c r="U136" s="1"/>
      <c r="V136" s="1"/>
      <c r="W136" s="1"/>
      <c r="X136" s="1"/>
      <c r="Y136" s="1"/>
      <c r="Z136" s="1"/>
      <c r="AA136" s="1"/>
      <c r="AB136" s="1"/>
      <c r="AC136" s="138"/>
      <c r="AD136" s="148"/>
      <c r="AE136" s="194" t="s">
        <v>97</v>
      </c>
      <c r="AF136" s="195"/>
      <c r="AG136" s="195"/>
      <c r="AH136" s="195"/>
      <c r="AI136" s="195"/>
      <c r="AJ136" s="195"/>
      <c r="AK136" s="174">
        <f>COUNTIF(AH13:AI62,"Transferred In")</f>
        <v>0</v>
      </c>
      <c r="AL136" s="174">
        <f>COUNTIF(AH64:AI113,"Transferred In")</f>
        <v>0</v>
      </c>
      <c r="AM136" s="157">
        <f>AK136+AL136</f>
        <v>0</v>
      </c>
      <c r="AQ136" s="1"/>
    </row>
    <row r="137" ht="15.75" customHeight="1" spans="2:43" x14ac:dyDescent="0.25">
      <c r="B137" s="198"/>
      <c r="C137" s="198"/>
      <c r="D137" s="198"/>
      <c r="E137" s="198"/>
      <c r="F137" s="198"/>
      <c r="G137" s="198"/>
      <c r="H137" s="1"/>
      <c r="I137" s="1"/>
      <c r="J137" s="1"/>
      <c r="K137" s="1"/>
      <c r="L137" s="1"/>
      <c r="M137" s="1"/>
      <c r="N137" s="1"/>
      <c r="O137" s="1"/>
      <c r="P137" s="1"/>
      <c r="Q137" s="1"/>
      <c r="R137" s="1"/>
      <c r="S137" s="121"/>
      <c r="T137" s="172" t="s">
        <v>98</v>
      </c>
      <c r="U137" s="1"/>
      <c r="V137" s="1"/>
      <c r="W137" s="1"/>
      <c r="X137" s="1"/>
      <c r="Y137" s="1"/>
      <c r="Z137" s="1"/>
      <c r="AA137" s="1"/>
      <c r="AB137" s="1"/>
      <c r="AC137" s="138"/>
      <c r="AD137" s="1"/>
      <c r="AE137" s="199"/>
      <c r="AF137" s="146"/>
      <c r="AG137" s="146"/>
      <c r="AH137" s="146"/>
      <c r="AI137" s="146"/>
      <c r="AJ137" s="146"/>
      <c r="AK137" s="200"/>
      <c r="AL137" s="200"/>
      <c r="AM137" s="201"/>
      <c r="AQ137" s="1"/>
    </row>
    <row r="138" ht="14.25" customHeight="1" spans="2:43" x14ac:dyDescent="0.25">
      <c r="B138" s="3"/>
      <c r="C138" s="3"/>
      <c r="D138" s="3"/>
      <c r="E138" s="3"/>
      <c r="F138" s="3"/>
      <c r="H138" s="1"/>
      <c r="I138" s="1"/>
      <c r="J138" s="1"/>
      <c r="K138" s="1"/>
      <c r="L138" s="1"/>
      <c r="M138" s="1"/>
      <c r="N138" s="1"/>
      <c r="O138" s="1"/>
      <c r="P138" s="1"/>
      <c r="Q138" s="1"/>
      <c r="R138" s="1"/>
      <c r="S138" s="121"/>
      <c r="T138" s="172" t="s">
        <v>99</v>
      </c>
      <c r="U138" s="1"/>
      <c r="V138" s="1"/>
      <c r="W138" s="1"/>
      <c r="X138" s="1"/>
      <c r="Y138" s="1"/>
      <c r="Z138" s="1"/>
      <c r="AA138" s="1"/>
      <c r="AB138" s="1"/>
      <c r="AC138" s="138"/>
      <c r="AD138" s="1"/>
      <c r="AQ138" s="1"/>
    </row>
    <row r="139" spans="2:43" x14ac:dyDescent="0.25">
      <c r="B139" s="3"/>
      <c r="C139" s="3"/>
      <c r="D139" s="3"/>
      <c r="E139" s="3"/>
      <c r="F139" s="3"/>
      <c r="G139" s="3"/>
      <c r="H139" s="3"/>
      <c r="I139" s="3"/>
      <c r="J139" s="3"/>
      <c r="K139" s="1"/>
      <c r="L139" s="1"/>
      <c r="M139" s="1"/>
      <c r="N139" s="1"/>
      <c r="O139" s="1"/>
      <c r="P139" s="1"/>
      <c r="Q139" s="1"/>
      <c r="R139" s="1"/>
      <c r="S139" s="121"/>
      <c r="T139" s="162" t="s">
        <v>100</v>
      </c>
      <c r="U139" s="1"/>
      <c r="V139" s="1"/>
      <c r="W139" s="1"/>
      <c r="X139" s="1"/>
      <c r="Y139" s="1"/>
      <c r="Z139" s="1"/>
      <c r="AA139" s="1"/>
      <c r="AB139" s="1"/>
      <c r="AC139" s="138"/>
      <c r="AD139" s="1"/>
      <c r="AE139" s="202" t="s">
        <v>101</v>
      </c>
      <c r="AM139" s="203"/>
      <c r="AQ139" s="1"/>
    </row>
    <row r="140" spans="2:43" x14ac:dyDescent="0.25">
      <c r="B140" s="204"/>
      <c r="C140" s="204"/>
      <c r="D140" s="204"/>
      <c r="E140" s="204"/>
      <c r="F140" s="204"/>
      <c r="G140" s="3"/>
      <c r="H140" s="3"/>
      <c r="I140" s="3"/>
      <c r="J140" s="3"/>
      <c r="K140" s="1"/>
      <c r="L140" s="1"/>
      <c r="M140" s="1"/>
      <c r="N140" s="1"/>
      <c r="O140" s="1"/>
      <c r="P140" s="1"/>
      <c r="Q140" s="1"/>
      <c r="R140" s="1"/>
      <c r="S140" s="121"/>
      <c r="T140" s="172" t="s">
        <v>102</v>
      </c>
      <c r="U140" s="1"/>
      <c r="V140" s="1"/>
      <c r="W140" s="1"/>
      <c r="X140" s="1"/>
      <c r="Y140" s="1"/>
      <c r="Z140" s="1"/>
      <c r="AA140" s="1"/>
      <c r="AB140" s="1"/>
      <c r="AC140" s="138"/>
      <c r="AD140" s="1"/>
      <c r="AE140" s="205"/>
      <c r="AF140" s="205"/>
      <c r="AG140" s="205"/>
      <c r="AH140" s="205"/>
      <c r="AI140" s="205"/>
      <c r="AJ140" s="205"/>
      <c r="AK140" s="205"/>
      <c r="AL140" s="205"/>
      <c r="AM140" s="205"/>
      <c r="AQ140" s="1"/>
    </row>
    <row r="141" ht="12" customHeight="1" spans="2:43" x14ac:dyDescent="0.25">
      <c r="B141" s="204"/>
      <c r="C141" s="204"/>
      <c r="D141" s="204"/>
      <c r="E141" s="204"/>
      <c r="F141" s="204"/>
      <c r="H141" s="1"/>
      <c r="I141" s="1"/>
      <c r="J141" s="1"/>
      <c r="K141" s="1"/>
      <c r="L141" s="1"/>
      <c r="M141" s="1"/>
      <c r="N141" s="1"/>
      <c r="O141" s="1"/>
      <c r="P141" s="1"/>
      <c r="Q141" s="1"/>
      <c r="R141" s="1"/>
      <c r="S141" s="121"/>
      <c r="T141" s="206" t="s">
        <v>103</v>
      </c>
      <c r="U141" s="1"/>
      <c r="V141" s="1"/>
      <c r="W141" s="1"/>
      <c r="X141" s="1"/>
      <c r="Y141" s="1"/>
      <c r="Z141" s="1"/>
      <c r="AA141" s="1"/>
      <c r="AB141" s="1"/>
      <c r="AC141" s="1"/>
      <c r="AD141" s="1"/>
      <c r="AE141" s="97"/>
      <c r="AF141" s="97"/>
      <c r="AG141" s="97"/>
      <c r="AH141" s="97"/>
      <c r="AI141" s="97"/>
      <c r="AJ141" s="97"/>
      <c r="AK141" s="97"/>
      <c r="AL141" s="97"/>
      <c r="AM141" s="97"/>
      <c r="AQ141" s="1"/>
    </row>
    <row r="142" spans="2:43" x14ac:dyDescent="0.25">
      <c r="B142" s="204"/>
      <c r="C142" s="204"/>
      <c r="D142" s="204"/>
      <c r="E142" s="204"/>
      <c r="F142" s="204"/>
      <c r="H142" s="1"/>
      <c r="I142" s="1"/>
      <c r="J142" s="1"/>
      <c r="K142" s="1"/>
      <c r="L142" s="1"/>
      <c r="M142" s="1"/>
      <c r="N142" s="1"/>
      <c r="O142" s="1"/>
      <c r="P142" s="1"/>
      <c r="Q142" s="1"/>
      <c r="R142" s="1"/>
      <c r="S142" s="121"/>
      <c r="T142" s="1"/>
      <c r="U142" s="1"/>
      <c r="V142" s="1"/>
      <c r="W142" s="1"/>
      <c r="X142" s="1"/>
      <c r="Y142" s="1"/>
      <c r="Z142" s="1"/>
      <c r="AA142" s="1"/>
      <c r="AB142" s="1"/>
      <c r="AC142" s="1"/>
      <c r="AD142" s="1"/>
      <c r="AE142" s="208" t="s">
        <v>104</v>
      </c>
      <c r="AF142" s="208"/>
      <c r="AG142" s="208"/>
      <c r="AH142" s="208"/>
      <c r="AI142" s="208"/>
      <c r="AJ142" s="208"/>
      <c r="AK142" s="208"/>
      <c r="AL142" s="208"/>
      <c r="AM142" s="208"/>
      <c r="AQ142" s="1"/>
    </row>
    <row r="143" spans="2:43" x14ac:dyDescent="0.25">
      <c r="B143" s="204"/>
      <c r="C143" s="204"/>
      <c r="D143" s="204"/>
      <c r="E143" s="204"/>
      <c r="F143" s="204"/>
      <c r="H143" s="1"/>
      <c r="I143" s="1"/>
      <c r="J143" s="1"/>
      <c r="K143" s="1"/>
      <c r="L143" s="1"/>
      <c r="M143" s="1"/>
      <c r="N143" s="1"/>
      <c r="O143" s="1"/>
      <c r="P143" s="1"/>
      <c r="Q143" s="1"/>
      <c r="R143" s="1"/>
      <c r="S143" s="1"/>
      <c r="T143" s="172" t="s">
        <v>105</v>
      </c>
      <c r="U143" s="1"/>
      <c r="V143" s="1"/>
      <c r="W143" s="1"/>
      <c r="X143" s="1"/>
      <c r="Y143" s="1"/>
      <c r="Z143" s="1"/>
      <c r="AA143" s="1"/>
      <c r="AB143" s="1"/>
      <c r="AC143" s="209"/>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2" t="s">
        <v>106</v>
      </c>
      <c r="U144" s="1"/>
      <c r="V144" s="1"/>
      <c r="W144" s="1"/>
      <c r="X144" s="1"/>
      <c r="Y144" s="1"/>
      <c r="Z144" s="1"/>
      <c r="AA144" s="1"/>
      <c r="AB144" s="1"/>
      <c r="AC144" s="209"/>
      <c r="AD144" s="1"/>
      <c r="AE144" s="1" t="s">
        <v>107</v>
      </c>
      <c r="AG144" s="202"/>
      <c r="AH144" s="202"/>
      <c r="AI144" s="202"/>
      <c r="AJ144" s="202"/>
      <c r="AK144" s="202"/>
      <c r="AL144" s="202"/>
      <c r="AQ144" s="1"/>
    </row>
    <row r="145" ht="27.65" customHeight="1" spans="1:43" x14ac:dyDescent="0.25">
      <c r="A145" s="210"/>
      <c r="B145" s="210"/>
      <c r="C145" s="210"/>
      <c r="D145" s="210"/>
      <c r="E145" s="210"/>
      <c r="F145" s="210"/>
      <c r="H145" s="1"/>
      <c r="I145" s="1"/>
      <c r="J145" s="1"/>
      <c r="K145" s="1"/>
      <c r="L145" s="1"/>
      <c r="M145" s="1"/>
      <c r="N145" s="1"/>
      <c r="O145" s="1"/>
      <c r="P145" s="1"/>
      <c r="Q145" s="1"/>
      <c r="R145" s="1"/>
      <c r="S145" s="1"/>
      <c r="T145" s="172" t="s">
        <v>108</v>
      </c>
      <c r="U145" s="1"/>
      <c r="V145" s="1"/>
      <c r="W145" s="1"/>
      <c r="X145" s="1"/>
      <c r="Y145" s="1"/>
      <c r="Z145" s="1"/>
      <c r="AA145" s="1"/>
      <c r="AB145" s="1"/>
      <c r="AC145" s="209"/>
      <c r="AD145" s="1"/>
      <c r="AE145" s="97"/>
      <c r="AF145" s="97"/>
      <c r="AG145" s="97"/>
      <c r="AH145" s="97"/>
      <c r="AI145" s="97"/>
      <c r="AJ145" s="97"/>
      <c r="AK145" s="97"/>
      <c r="AL145" s="97"/>
      <c r="AM145" s="97"/>
      <c r="AQ145" s="1"/>
    </row>
    <row r="146" ht="14.25" customHeight="1" spans="1:43" x14ac:dyDescent="0.25">
      <c r="A146" s="210"/>
      <c r="B146" s="210"/>
      <c r="C146" s="210"/>
      <c r="D146" s="210"/>
      <c r="E146" s="210"/>
      <c r="F146" s="210"/>
      <c r="H146" s="1"/>
      <c r="I146" s="1"/>
      <c r="J146" s="1"/>
      <c r="K146" s="1"/>
      <c r="L146" s="1"/>
      <c r="M146" s="1"/>
      <c r="N146" s="1"/>
      <c r="O146" s="1"/>
      <c r="P146" s="1"/>
      <c r="Q146" s="1"/>
      <c r="R146" s="1"/>
      <c r="S146" s="1"/>
      <c r="T146" s="211" t="s">
        <v>109</v>
      </c>
      <c r="U146" s="212"/>
      <c r="V146" s="212"/>
      <c r="W146" s="212"/>
      <c r="X146" s="212"/>
      <c r="Y146" s="212"/>
      <c r="Z146" s="212"/>
      <c r="AA146" s="212"/>
      <c r="AB146" s="212"/>
      <c r="AC146" s="213"/>
      <c r="AD146" s="1"/>
      <c r="AE146" s="208" t="s">
        <v>110</v>
      </c>
      <c r="AF146" s="208"/>
      <c r="AG146" s="208"/>
      <c r="AH146" s="208"/>
      <c r="AI146" s="208"/>
      <c r="AJ146" s="208"/>
      <c r="AK146" s="208"/>
      <c r="AL146" s="208"/>
      <c r="AM146" s="208"/>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1"/>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1"/>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1"/>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1"/>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1"/>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1"/>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1"/>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1"/>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1"/>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1"/>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1"/>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1"/>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1"/>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1"/>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1"/>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1"/>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1"/>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1"/>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1"/>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1"/>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1"/>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1"/>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1"/>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1"/>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1"/>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1"/>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1"/>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1"/>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1"/>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1"/>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1"/>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1"/>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1"/>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1"/>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1"/>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1"/>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1"/>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1"/>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1"/>
    </row>
    <row r="55" ht="21.9" customHeight="1" spans="1:43" x14ac:dyDescent="0.25">
      <c r="A55" s="62">
        <v>43</v>
      </c>
      <c r="B55" s="77"/>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1"/>
    </row>
    <row r="56" ht="21.9" customHeight="1" spans="1:43" x14ac:dyDescent="0.25">
      <c r="A56" s="62">
        <v>44</v>
      </c>
      <c r="B56" s="77"/>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1"/>
    </row>
    <row r="57" ht="21.9" customHeight="1" spans="1:43" x14ac:dyDescent="0.25">
      <c r="A57" s="62">
        <v>45</v>
      </c>
      <c r="B57" s="77"/>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1"/>
    </row>
    <row r="58" ht="21.9" customHeight="1" spans="1:43" x14ac:dyDescent="0.25">
      <c r="A58" s="62">
        <v>46</v>
      </c>
      <c r="B58" s="77"/>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1"/>
    </row>
    <row r="59" ht="21.9" customHeight="1" spans="1:43" x14ac:dyDescent="0.25">
      <c r="A59" s="62">
        <v>47</v>
      </c>
      <c r="B59" s="77"/>
      <c r="C59" s="78"/>
      <c r="D59" s="78"/>
      <c r="E59" s="78"/>
      <c r="F59" s="78"/>
      <c r="G59" s="79"/>
      <c r="H59" s="80"/>
      <c r="I59" s="80"/>
      <c r="J59" s="80"/>
      <c r="K59" s="81"/>
      <c r="L59" s="82"/>
      <c r="M59" s="80"/>
      <c r="N59" s="80"/>
      <c r="O59" s="80"/>
      <c r="P59" s="83"/>
      <c r="Q59" s="79"/>
      <c r="R59" s="80"/>
      <c r="S59" s="80"/>
      <c r="T59" s="80"/>
      <c r="U59" s="81"/>
      <c r="V59" s="82"/>
      <c r="W59" s="80"/>
      <c r="X59" s="80"/>
      <c r="Y59" s="80"/>
      <c r="Z59" s="83"/>
      <c r="AA59" s="79"/>
      <c r="AB59" s="80"/>
      <c r="AC59" s="80"/>
      <c r="AD59" s="83"/>
      <c r="AE59" s="81"/>
      <c r="AF59" s="72">
        <f t="shared" si="2"/>
      </c>
      <c r="AG59" s="73">
        <f t="shared" si="3"/>
      </c>
      <c r="AH59" s="74"/>
      <c r="AI59" s="75"/>
      <c r="AJ59" s="75"/>
      <c r="AK59" s="75"/>
      <c r="AL59" s="75"/>
      <c r="AM59" s="76"/>
      <c r="AQ59" s="1"/>
    </row>
    <row r="60" ht="21.9" customHeight="1" spans="1:43" x14ac:dyDescent="0.25">
      <c r="A60" s="62">
        <v>48</v>
      </c>
      <c r="B60" s="77"/>
      <c r="C60" s="78"/>
      <c r="D60" s="78"/>
      <c r="E60" s="78"/>
      <c r="F60" s="78"/>
      <c r="G60" s="79"/>
      <c r="H60" s="80"/>
      <c r="I60" s="80"/>
      <c r="J60" s="80"/>
      <c r="K60" s="81"/>
      <c r="L60" s="82"/>
      <c r="M60" s="80"/>
      <c r="N60" s="80"/>
      <c r="O60" s="80"/>
      <c r="P60" s="83"/>
      <c r="Q60" s="79"/>
      <c r="R60" s="80"/>
      <c r="S60" s="80"/>
      <c r="T60" s="80"/>
      <c r="U60" s="81"/>
      <c r="V60" s="82"/>
      <c r="W60" s="80"/>
      <c r="X60" s="80"/>
      <c r="Y60" s="80"/>
      <c r="Z60" s="83"/>
      <c r="AA60" s="79"/>
      <c r="AB60" s="80"/>
      <c r="AC60" s="80"/>
      <c r="AD60" s="83"/>
      <c r="AE60" s="81"/>
      <c r="AF60" s="72">
        <f t="shared" si="2"/>
      </c>
      <c r="AG60" s="73">
        <f t="shared" si="3"/>
      </c>
      <c r="AH60" s="74"/>
      <c r="AI60" s="75"/>
      <c r="AJ60" s="75"/>
      <c r="AK60" s="75"/>
      <c r="AL60" s="75"/>
      <c r="AM60" s="76"/>
      <c r="AQ60" s="1"/>
    </row>
    <row r="61" ht="21.9" customHeight="1" spans="1:43" x14ac:dyDescent="0.25">
      <c r="A61" s="62">
        <v>49</v>
      </c>
      <c r="B61" s="77"/>
      <c r="C61" s="78"/>
      <c r="D61" s="78"/>
      <c r="E61" s="78"/>
      <c r="F61" s="78"/>
      <c r="G61" s="79"/>
      <c r="H61" s="80"/>
      <c r="I61" s="80"/>
      <c r="J61" s="80"/>
      <c r="K61" s="81"/>
      <c r="L61" s="82"/>
      <c r="M61" s="80"/>
      <c r="N61" s="80"/>
      <c r="O61" s="80"/>
      <c r="P61" s="83"/>
      <c r="Q61" s="79"/>
      <c r="R61" s="80"/>
      <c r="S61" s="80"/>
      <c r="T61" s="80"/>
      <c r="U61" s="81"/>
      <c r="V61" s="82"/>
      <c r="W61" s="80"/>
      <c r="X61" s="80"/>
      <c r="Y61" s="80"/>
      <c r="Z61" s="83"/>
      <c r="AA61" s="79"/>
      <c r="AB61" s="80"/>
      <c r="AC61" s="80"/>
      <c r="AD61" s="83"/>
      <c r="AE61" s="81"/>
      <c r="AF61" s="72">
        <f t="shared" si="2"/>
      </c>
      <c r="AG61" s="73">
        <f t="shared" si="3"/>
      </c>
      <c r="AH61" s="74"/>
      <c r="AI61" s="75"/>
      <c r="AJ61" s="75"/>
      <c r="AK61" s="75"/>
      <c r="AL61" s="75"/>
      <c r="AM61" s="76"/>
      <c r="AQ61" s="1"/>
    </row>
    <row r="62" ht="21.9" customHeight="1" spans="1:43" x14ac:dyDescent="0.25">
      <c r="A62" s="79">
        <v>50</v>
      </c>
      <c r="B62" s="84"/>
      <c r="C62" s="78"/>
      <c r="D62" s="78"/>
      <c r="E62" s="78"/>
      <c r="F62" s="78"/>
      <c r="G62" s="79"/>
      <c r="H62" s="80"/>
      <c r="I62" s="80"/>
      <c r="J62" s="80"/>
      <c r="K62" s="81"/>
      <c r="L62" s="82"/>
      <c r="M62" s="80"/>
      <c r="N62" s="80"/>
      <c r="O62" s="80"/>
      <c r="P62" s="83"/>
      <c r="Q62" s="79"/>
      <c r="R62" s="80"/>
      <c r="S62" s="80"/>
      <c r="T62" s="80"/>
      <c r="U62" s="81"/>
      <c r="V62" s="82"/>
      <c r="W62" s="80"/>
      <c r="X62" s="80"/>
      <c r="Y62" s="80"/>
      <c r="Z62" s="83"/>
      <c r="AA62" s="79"/>
      <c r="AB62" s="80"/>
      <c r="AC62" s="80"/>
      <c r="AD62" s="83"/>
      <c r="AE62" s="81"/>
      <c r="AF62" s="72">
        <f t="shared" si="2"/>
      </c>
      <c r="AG62" s="73">
        <f t="shared" si="3"/>
      </c>
      <c r="AH62" s="74"/>
      <c r="AI62" s="75"/>
      <c r="AJ62" s="85"/>
      <c r="AK62" s="85"/>
      <c r="AL62" s="85"/>
      <c r="AM62" s="86"/>
      <c r="AQ62" s="1"/>
    </row>
    <row r="63" ht="21.9" customHeight="1" spans="1:43" x14ac:dyDescent="0.25">
      <c r="A63" s="87"/>
      <c r="B63" s="88" t="s">
        <v>36</v>
      </c>
      <c r="C63" s="88"/>
      <c r="D63" s="88"/>
      <c r="E63" s="88"/>
      <c r="F63" s="88"/>
      <c r="G63" s="89">
        <f t="shared" ref="G63:AE63" si="4">IF(G10="","",COUNTA($B$13:$B$62)-(COUNTIF(G13:G62,"x")*1+COUNTIF(G13:G62,"h")*0.5))</f>
        <v>0</v>
      </c>
      <c r="H63" s="90">
        <f t="shared" si="4"/>
        <v>0</v>
      </c>
      <c r="I63" s="90">
        <f t="shared" si="4"/>
        <v>0</v>
      </c>
      <c r="J63" s="90">
        <f t="shared" si="4"/>
        <v>0</v>
      </c>
      <c r="K63" s="91">
        <f t="shared" si="4"/>
        <v>0</v>
      </c>
      <c r="L63" s="89">
        <f t="shared" si="4"/>
        <v>0</v>
      </c>
      <c r="M63" s="90">
        <f t="shared" si="4"/>
        <v>0</v>
      </c>
      <c r="N63" s="90">
        <f t="shared" si="4"/>
        <v>0</v>
      </c>
      <c r="O63" s="90">
        <f t="shared" si="4"/>
        <v>0</v>
      </c>
      <c r="P63" s="91">
        <f t="shared" si="4"/>
        <v>0</v>
      </c>
      <c r="Q63" s="89">
        <f t="shared" si="4"/>
        <v>0</v>
      </c>
      <c r="R63" s="90">
        <f t="shared" si="4"/>
        <v>0</v>
      </c>
      <c r="S63" s="90">
        <f t="shared" si="4"/>
        <v>0</v>
      </c>
      <c r="T63" s="90">
        <f t="shared" si="4"/>
        <v>0</v>
      </c>
      <c r="U63" s="91">
        <f t="shared" si="4"/>
        <v>0</v>
      </c>
      <c r="V63" s="89">
        <f t="shared" si="4"/>
        <v>0</v>
      </c>
      <c r="W63" s="90">
        <f t="shared" si="4"/>
        <v>0</v>
      </c>
      <c r="X63" s="90">
        <f t="shared" si="4"/>
        <v>0</v>
      </c>
      <c r="Y63" s="90">
        <f t="shared" si="4"/>
        <v>0</v>
      </c>
      <c r="Z63" s="91">
        <f t="shared" si="4"/>
        <v>0</v>
      </c>
      <c r="AA63" s="89">
        <f t="shared" si="4"/>
        <v>0</v>
      </c>
      <c r="AB63" s="90">
        <f t="shared" si="4"/>
      </c>
      <c r="AC63" s="90">
        <f t="shared" si="4"/>
      </c>
      <c r="AD63" s="90">
        <f t="shared" si="4"/>
      </c>
      <c r="AE63" s="91">
        <f t="shared" si="4"/>
      </c>
      <c r="AF63" s="92">
        <f>SUM(AF13:AF62)</f>
        <v>0</v>
      </c>
      <c r="AG63" s="93">
        <f>SUM(AG13:AG62)</f>
        <v>0</v>
      </c>
      <c r="AH63" s="94"/>
      <c r="AI63" s="95"/>
      <c r="AJ63" s="95"/>
      <c r="AK63" s="95"/>
      <c r="AL63" s="95"/>
      <c r="AM63" s="96"/>
      <c r="AQ63" s="1"/>
    </row>
    <row r="64" ht="21.9" customHeight="1" spans="1:43" x14ac:dyDescent="0.25">
      <c r="A64" s="62">
        <v>1</v>
      </c>
      <c r="B64" s="63" t="s">
        <v>37</v>
      </c>
      <c r="C64" s="97"/>
      <c r="D64" s="97"/>
      <c r="E64" s="97"/>
      <c r="F64" s="97"/>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6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6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6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6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6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1"/>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1"/>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1"/>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1"/>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1"/>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1"/>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1"/>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1"/>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1"/>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1"/>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1"/>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1"/>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1"/>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1"/>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1"/>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1"/>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1"/>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1"/>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1"/>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1"/>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1"/>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1"/>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1"/>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1"/>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1"/>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1"/>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1"/>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1"/>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1"/>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1"/>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1"/>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1"/>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1"/>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1"/>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1"/>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1"/>
    </row>
    <row r="105" ht="21.9" customHeight="1" spans="1:43" x14ac:dyDescent="0.25">
      <c r="A105" s="62">
        <v>42</v>
      </c>
      <c r="B105" s="77"/>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1"/>
    </row>
    <row r="106" ht="21.9" customHeight="1" spans="1:43" x14ac:dyDescent="0.25">
      <c r="A106" s="62">
        <v>43</v>
      </c>
      <c r="B106" s="77"/>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1"/>
    </row>
    <row r="107" ht="21.9" customHeight="1" spans="1:43" x14ac:dyDescent="0.25">
      <c r="A107" s="62">
        <v>44</v>
      </c>
      <c r="B107" s="77"/>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1"/>
    </row>
    <row r="108" ht="21.9" customHeight="1" spans="1:43" x14ac:dyDescent="0.25">
      <c r="A108" s="62">
        <v>45</v>
      </c>
      <c r="B108" s="77"/>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1"/>
    </row>
    <row r="109" ht="21.9" customHeight="1" spans="1:43" x14ac:dyDescent="0.25">
      <c r="A109" s="62">
        <v>46</v>
      </c>
      <c r="B109" s="77"/>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1"/>
    </row>
    <row r="110" ht="21.9" customHeight="1" spans="1:43" x14ac:dyDescent="0.25">
      <c r="A110" s="62">
        <v>47</v>
      </c>
      <c r="B110" s="77"/>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1"/>
    </row>
    <row r="111" ht="21.9" customHeight="1" spans="1:43" x14ac:dyDescent="0.25">
      <c r="A111" s="62">
        <v>48</v>
      </c>
      <c r="B111" s="77"/>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1"/>
    </row>
    <row r="112" ht="21.9" customHeight="1" spans="1:43" x14ac:dyDescent="0.25">
      <c r="A112" s="62">
        <v>49</v>
      </c>
      <c r="B112" s="77"/>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1"/>
    </row>
    <row r="113" ht="21.9" customHeight="1" spans="1:43" x14ac:dyDescent="0.25">
      <c r="A113" s="79">
        <v>50</v>
      </c>
      <c r="B113" s="84"/>
      <c r="C113" s="78"/>
      <c r="D113" s="78"/>
      <c r="E113" s="78"/>
      <c r="F113" s="78"/>
      <c r="G113" s="79"/>
      <c r="H113" s="80"/>
      <c r="I113" s="80"/>
      <c r="J113" s="80"/>
      <c r="K113" s="81"/>
      <c r="L113" s="82"/>
      <c r="M113" s="80"/>
      <c r="N113" s="80"/>
      <c r="O113" s="80"/>
      <c r="P113" s="83"/>
      <c r="Q113" s="79"/>
      <c r="R113" s="80"/>
      <c r="S113" s="80"/>
      <c r="T113" s="80"/>
      <c r="U113" s="81"/>
      <c r="V113" s="82"/>
      <c r="W113" s="80"/>
      <c r="X113" s="80"/>
      <c r="Y113" s="80"/>
      <c r="Z113" s="83"/>
      <c r="AA113" s="79"/>
      <c r="AB113" s="80"/>
      <c r="AC113" s="80"/>
      <c r="AD113" s="83"/>
      <c r="AE113" s="81"/>
      <c r="AF113" s="98">
        <f t="shared" si="7"/>
      </c>
      <c r="AG113" s="99">
        <f t="shared" si="8"/>
      </c>
      <c r="AH113" s="100"/>
      <c r="AI113" s="85"/>
      <c r="AJ113" s="85"/>
      <c r="AK113" s="85"/>
      <c r="AL113" s="85"/>
      <c r="AM113" s="86"/>
      <c r="AQ113" s="1"/>
    </row>
    <row r="114" ht="21.9" customHeight="1" spans="1:43" x14ac:dyDescent="0.25">
      <c r="A114" s="101" t="s">
        <v>42</v>
      </c>
      <c r="B114" s="88"/>
      <c r="C114" s="88"/>
      <c r="D114" s="88"/>
      <c r="E114" s="88"/>
      <c r="F114" s="88"/>
      <c r="G114" s="102">
        <f t="shared" ref="G114:AE114" si="9">IF(G10="","",COUNTA($B$64:$B$113)-(COUNTIF(G64:G113,"x")+COUNTIF(G64:G113,"h")*0.5))</f>
        <v>0</v>
      </c>
      <c r="H114" s="90">
        <f t="shared" si="9"/>
        <v>0</v>
      </c>
      <c r="I114" s="90">
        <f t="shared" si="9"/>
        <v>0</v>
      </c>
      <c r="J114" s="90">
        <f t="shared" si="9"/>
        <v>0</v>
      </c>
      <c r="K114" s="91">
        <f t="shared" si="9"/>
        <v>0</v>
      </c>
      <c r="L114" s="102">
        <f t="shared" si="9"/>
        <v>0</v>
      </c>
      <c r="M114" s="90">
        <f t="shared" si="9"/>
        <v>0</v>
      </c>
      <c r="N114" s="90">
        <f t="shared" si="9"/>
        <v>0</v>
      </c>
      <c r="O114" s="90">
        <f t="shared" si="9"/>
        <v>0</v>
      </c>
      <c r="P114" s="91">
        <f t="shared" si="9"/>
        <v>0</v>
      </c>
      <c r="Q114" s="102">
        <f t="shared" si="9"/>
        <v>0</v>
      </c>
      <c r="R114" s="90">
        <f t="shared" si="9"/>
        <v>0</v>
      </c>
      <c r="S114" s="90">
        <f t="shared" si="9"/>
        <v>0</v>
      </c>
      <c r="T114" s="90">
        <f t="shared" si="9"/>
        <v>0</v>
      </c>
      <c r="U114" s="91">
        <f t="shared" si="9"/>
        <v>0</v>
      </c>
      <c r="V114" s="102">
        <f t="shared" si="9"/>
        <v>0</v>
      </c>
      <c r="W114" s="90">
        <f t="shared" si="9"/>
        <v>0</v>
      </c>
      <c r="X114" s="90">
        <f t="shared" si="9"/>
        <v>0</v>
      </c>
      <c r="Y114" s="90">
        <f t="shared" si="9"/>
        <v>0</v>
      </c>
      <c r="Z114" s="91">
        <f t="shared" si="9"/>
        <v>0</v>
      </c>
      <c r="AA114" s="102">
        <f t="shared" si="9"/>
        <v>0</v>
      </c>
      <c r="AB114" s="90">
        <f t="shared" si="9"/>
      </c>
      <c r="AC114" s="90">
        <f t="shared" si="9"/>
      </c>
      <c r="AD114" s="90">
        <f t="shared" si="9"/>
      </c>
      <c r="AE114" s="91">
        <f t="shared" si="9"/>
      </c>
      <c r="AF114" s="92">
        <f>SUM(AF64:AF113)</f>
        <v>0</v>
      </c>
      <c r="AG114" s="93">
        <f>SUM(AG64:AG113)</f>
        <v>0</v>
      </c>
      <c r="AH114" s="103"/>
      <c r="AI114" s="104"/>
      <c r="AJ114" s="104"/>
      <c r="AK114" s="104"/>
      <c r="AL114" s="104"/>
      <c r="AM114" s="105"/>
      <c r="AQ114" s="1"/>
    </row>
    <row r="115" ht="21.9" customHeight="1" spans="1:43" x14ac:dyDescent="0.25">
      <c r="A115" s="106" t="s">
        <v>43</v>
      </c>
      <c r="B115" s="106"/>
      <c r="C115" s="107"/>
      <c r="D115" s="107"/>
      <c r="E115" s="107"/>
      <c r="F115" s="107"/>
      <c r="G115" s="108">
        <f t="shared" ref="G115:AE115" si="10">IF(G10="","",G63+G114)</f>
        <v>0</v>
      </c>
      <c r="H115" s="109">
        <f t="shared" si="10"/>
        <v>0</v>
      </c>
      <c r="I115" s="109">
        <f t="shared" si="10"/>
        <v>0</v>
      </c>
      <c r="J115" s="109">
        <f t="shared" si="10"/>
        <v>0</v>
      </c>
      <c r="K115" s="110">
        <f t="shared" si="10"/>
        <v>0</v>
      </c>
      <c r="L115" s="108">
        <f t="shared" si="10"/>
        <v>0</v>
      </c>
      <c r="M115" s="109">
        <f t="shared" si="10"/>
        <v>0</v>
      </c>
      <c r="N115" s="109">
        <f t="shared" si="10"/>
        <v>0</v>
      </c>
      <c r="O115" s="109">
        <f t="shared" si="10"/>
        <v>0</v>
      </c>
      <c r="P115" s="110">
        <f t="shared" si="10"/>
        <v>0</v>
      </c>
      <c r="Q115" s="108">
        <f t="shared" si="10"/>
        <v>0</v>
      </c>
      <c r="R115" s="109">
        <f t="shared" si="10"/>
        <v>0</v>
      </c>
      <c r="S115" s="109">
        <f t="shared" si="10"/>
        <v>0</v>
      </c>
      <c r="T115" s="109">
        <f t="shared" si="10"/>
        <v>0</v>
      </c>
      <c r="U115" s="110">
        <f t="shared" si="10"/>
        <v>0</v>
      </c>
      <c r="V115" s="108">
        <f t="shared" si="10"/>
        <v>0</v>
      </c>
      <c r="W115" s="109">
        <f t="shared" si="10"/>
        <v>0</v>
      </c>
      <c r="X115" s="109">
        <f t="shared" si="10"/>
        <v>0</v>
      </c>
      <c r="Y115" s="109">
        <f t="shared" si="10"/>
        <v>0</v>
      </c>
      <c r="Z115" s="110">
        <f t="shared" si="10"/>
        <v>0</v>
      </c>
      <c r="AA115" s="108">
        <f t="shared" si="10"/>
        <v>0</v>
      </c>
      <c r="AB115" s="109">
        <f t="shared" si="10"/>
      </c>
      <c r="AC115" s="109">
        <f t="shared" si="10"/>
      </c>
      <c r="AD115" s="109">
        <f t="shared" si="10"/>
      </c>
      <c r="AE115" s="110">
        <f t="shared" si="10"/>
      </c>
      <c r="AF115" s="111">
        <f>AF63+AF114</f>
        <v>0</v>
      </c>
      <c r="AG115" s="112">
        <f>AG63+AG114</f>
        <v>0</v>
      </c>
      <c r="AH115" s="113"/>
      <c r="AI115" s="114"/>
      <c r="AJ115" s="114"/>
      <c r="AK115" s="114"/>
      <c r="AL115" s="114"/>
      <c r="AM115" s="115"/>
      <c r="AQ115" s="1"/>
    </row>
    <row r="116" ht="6.75" customHeight="1" spans="1:43" x14ac:dyDescent="0.25">
      <c r="A116" s="116"/>
      <c r="B116" s="116"/>
      <c r="C116" s="116"/>
      <c r="D116" s="116"/>
      <c r="E116" s="116"/>
      <c r="F116" s="116"/>
      <c r="G116" s="117"/>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18" t="s">
        <v>44</v>
      </c>
      <c r="B117" s="119"/>
      <c r="C117" s="119"/>
      <c r="D117" s="119"/>
      <c r="E117" s="119"/>
      <c r="F117" s="119"/>
      <c r="G117" s="120"/>
      <c r="H117" s="120"/>
      <c r="I117" s="120"/>
      <c r="J117" s="120"/>
      <c r="K117" s="120"/>
      <c r="L117" s="120"/>
      <c r="M117" s="120"/>
      <c r="N117" s="120"/>
      <c r="O117" s="120"/>
      <c r="P117" s="120"/>
      <c r="Q117" s="120"/>
      <c r="R117" s="120"/>
      <c r="S117" s="121"/>
      <c r="T117" s="122" t="s">
        <v>45</v>
      </c>
      <c r="U117" s="123"/>
      <c r="V117" s="123"/>
      <c r="W117" s="123"/>
      <c r="X117" s="123"/>
      <c r="Y117" s="124"/>
      <c r="Z117" s="124"/>
      <c r="AA117" s="124"/>
      <c r="AB117" s="125"/>
      <c r="AC117" s="126"/>
      <c r="AE117" s="127" t="s">
        <v>46</v>
      </c>
      <c r="AF117" s="128"/>
      <c r="AG117" s="129">
        <f>AA6</f>
        <v>NaN</v>
      </c>
      <c r="AH117" s="130" t="s">
        <v>47</v>
      </c>
      <c r="AI117" s="131"/>
      <c r="AJ117" s="132">
        <f>AQ9</f>
        <v>21</v>
      </c>
      <c r="AK117" s="133" t="s">
        <v>48</v>
      </c>
      <c r="AL117" s="133"/>
      <c r="AM117" s="134"/>
      <c r="AQ117" s="1"/>
    </row>
    <row r="118" ht="15" customHeight="1" spans="1:43" x14ac:dyDescent="0.25">
      <c r="A118" s="135" t="s">
        <v>49</v>
      </c>
      <c r="B118" s="135"/>
      <c r="C118" s="135"/>
      <c r="D118" s="135"/>
      <c r="E118" s="135"/>
      <c r="F118" s="135"/>
      <c r="G118" s="1"/>
      <c r="H118" s="1"/>
      <c r="I118" s="1"/>
      <c r="J118" s="1"/>
      <c r="K118" s="1"/>
      <c r="L118" s="1"/>
      <c r="M118" s="1"/>
      <c r="N118" s="1"/>
      <c r="O118" s="1"/>
      <c r="P118" s="1"/>
      <c r="Q118" s="1"/>
      <c r="R118" s="120"/>
      <c r="S118" s="121"/>
      <c r="T118" s="136" t="s">
        <v>50</v>
      </c>
      <c r="U118" s="1"/>
      <c r="V118" s="1"/>
      <c r="W118" s="1"/>
      <c r="X118" s="1"/>
      <c r="Y118" s="1"/>
      <c r="Z118" s="1"/>
      <c r="AA118" s="1"/>
      <c r="AB118" s="137"/>
      <c r="AC118" s="138"/>
      <c r="AE118" s="139"/>
      <c r="AF118" s="140"/>
      <c r="AG118" s="141"/>
      <c r="AH118" s="142"/>
      <c r="AI118" s="143"/>
      <c r="AJ118" s="144"/>
      <c r="AK118" s="145" t="s">
        <v>16</v>
      </c>
      <c r="AL118" s="146" t="s">
        <v>20</v>
      </c>
      <c r="AM118" s="147" t="s">
        <v>51</v>
      </c>
      <c r="AQ118" s="1"/>
    </row>
    <row r="119" ht="15.5" customHeight="1" spans="1:43" x14ac:dyDescent="0.25">
      <c r="A119" s="135" t="s">
        <v>52</v>
      </c>
      <c r="B119" s="135"/>
      <c r="C119" s="135"/>
      <c r="D119" s="135"/>
      <c r="E119" s="135"/>
      <c r="F119" s="135"/>
      <c r="G119" s="1"/>
      <c r="H119" s="1"/>
      <c r="I119" s="1"/>
      <c r="J119" s="1"/>
      <c r="K119" s="1"/>
      <c r="L119" s="1"/>
      <c r="M119" s="1"/>
      <c r="N119" s="1"/>
      <c r="O119" s="1"/>
      <c r="P119" s="1"/>
      <c r="Q119" s="1"/>
      <c r="R119" s="120"/>
      <c r="S119" s="121"/>
      <c r="T119" s="1"/>
      <c r="U119" s="1"/>
      <c r="V119" s="1"/>
      <c r="W119" s="1"/>
      <c r="X119" s="1"/>
      <c r="Y119" s="1"/>
      <c r="Z119" s="1"/>
      <c r="AA119" s="1"/>
      <c r="AB119" s="148"/>
      <c r="AC119" s="138"/>
      <c r="AE119" s="149" t="s">
        <v>53</v>
      </c>
      <c r="AF119" s="150"/>
      <c r="AG119" s="150"/>
      <c r="AH119" s="150"/>
      <c r="AI119" s="150"/>
      <c r="AJ119" s="151"/>
      <c r="AK119" s="152"/>
      <c r="AL119" s="152"/>
      <c r="AM119" s="153">
        <f t="shared" ref="AM119:AM123" si="11">AK119+AL119</f>
        <v>0</v>
      </c>
      <c r="AQ119" s="1"/>
    </row>
    <row r="120" ht="15.75" customHeight="1" spans="1:43" x14ac:dyDescent="0.25">
      <c r="A120" s="135" t="s">
        <v>54</v>
      </c>
      <c r="B120" s="135"/>
      <c r="C120" s="135"/>
      <c r="D120" s="135"/>
      <c r="E120" s="135"/>
      <c r="F120" s="135"/>
      <c r="G120" s="1"/>
      <c r="H120" s="1"/>
      <c r="I120" s="1"/>
      <c r="J120" s="1"/>
      <c r="K120" s="1"/>
      <c r="L120" s="1"/>
      <c r="M120" s="1"/>
      <c r="N120" s="1"/>
      <c r="O120" s="1"/>
      <c r="P120" s="1"/>
      <c r="Q120" s="1"/>
      <c r="R120" s="120"/>
      <c r="S120" s="121"/>
      <c r="T120" s="1"/>
      <c r="U120" s="1"/>
      <c r="V120" s="1"/>
      <c r="W120" s="1"/>
      <c r="X120" s="1"/>
      <c r="Y120" s="1"/>
      <c r="Z120" s="1"/>
      <c r="AA120" s="1"/>
      <c r="AB120" s="148"/>
      <c r="AC120" s="138"/>
      <c r="AE120" s="154"/>
      <c r="AF120" s="155"/>
      <c r="AG120" s="155"/>
      <c r="AH120" s="155"/>
      <c r="AI120" s="155"/>
      <c r="AJ120" s="156"/>
      <c r="AK120" s="31"/>
      <c r="AL120" s="31"/>
      <c r="AM120" s="157"/>
      <c r="AQ120" s="1"/>
    </row>
    <row r="121" ht="15.75" customHeight="1" spans="1:43" x14ac:dyDescent="0.25">
      <c r="A121" s="158" t="s">
        <v>55</v>
      </c>
      <c r="B121" s="159" t="s">
        <v>56</v>
      </c>
      <c r="C121" s="159"/>
      <c r="D121" s="159"/>
      <c r="E121" s="159"/>
      <c r="F121" s="159"/>
      <c r="G121" s="160" t="s">
        <v>57</v>
      </c>
      <c r="H121" s="1"/>
      <c r="I121" s="1"/>
      <c r="J121" s="1"/>
      <c r="K121" s="1"/>
      <c r="L121" s="1"/>
      <c r="M121" s="1"/>
      <c r="N121" s="1"/>
      <c r="O121" s="1"/>
      <c r="P121" s="1"/>
      <c r="Q121" s="161" t="s">
        <v>58</v>
      </c>
      <c r="R121" s="1"/>
      <c r="S121" s="121"/>
      <c r="T121" s="162" t="s">
        <v>59</v>
      </c>
      <c r="U121" s="1"/>
      <c r="V121" s="1"/>
      <c r="W121" s="1"/>
      <c r="X121" s="1"/>
      <c r="Y121" s="3"/>
      <c r="Z121" s="1"/>
      <c r="AA121" s="1"/>
      <c r="AB121" s="163"/>
      <c r="AC121" s="138"/>
      <c r="AE121" s="164" t="s">
        <v>60</v>
      </c>
      <c r="AF121" s="165"/>
      <c r="AG121" s="165"/>
      <c r="AH121" s="165"/>
      <c r="AI121" s="165"/>
      <c r="AJ121" s="165"/>
      <c r="AK121" s="166">
        <v>0</v>
      </c>
      <c r="AL121" s="166">
        <v>0</v>
      </c>
      <c r="AM121" s="167">
        <f t="shared" si="11"/>
        <v>0</v>
      </c>
      <c r="AQ121" s="1"/>
    </row>
    <row r="122" ht="15.75" customHeight="1" spans="1:43" x14ac:dyDescent="0.25">
      <c r="A122" s="158"/>
      <c r="B122" s="159"/>
      <c r="C122" s="159"/>
      <c r="D122" s="159"/>
      <c r="E122" s="159"/>
      <c r="F122" s="159"/>
      <c r="G122" s="168" t="s">
        <v>61</v>
      </c>
      <c r="H122" s="1"/>
      <c r="I122" s="1"/>
      <c r="J122" s="1"/>
      <c r="K122" s="1"/>
      <c r="L122" s="1"/>
      <c r="M122" s="1"/>
      <c r="N122" s="1"/>
      <c r="O122" s="1"/>
      <c r="P122" s="1"/>
      <c r="Q122" s="1"/>
      <c r="R122" s="1"/>
      <c r="S122" s="121"/>
      <c r="T122" s="162" t="s">
        <v>62</v>
      </c>
      <c r="U122" s="3"/>
      <c r="V122" s="3"/>
      <c r="W122" s="3"/>
      <c r="X122" s="3"/>
      <c r="Y122" s="3"/>
      <c r="Z122" s="1"/>
      <c r="AA122" s="1"/>
      <c r="AB122" s="163"/>
      <c r="AC122" s="138"/>
      <c r="AE122" s="164"/>
      <c r="AF122" s="165"/>
      <c r="AG122" s="165"/>
      <c r="AH122" s="165"/>
      <c r="AI122" s="165"/>
      <c r="AJ122" s="165"/>
      <c r="AK122" s="166"/>
      <c r="AL122" s="166"/>
      <c r="AM122" s="167"/>
      <c r="AQ122" s="1"/>
    </row>
    <row r="123" ht="18" customHeight="1" spans="1:43" x14ac:dyDescent="0.25">
      <c r="A123" s="158" t="s">
        <v>63</v>
      </c>
      <c r="B123" s="169" t="s">
        <v>64</v>
      </c>
      <c r="C123" s="169"/>
      <c r="D123" s="169"/>
      <c r="E123" s="169"/>
      <c r="F123" s="169"/>
      <c r="G123" s="170" t="s">
        <v>65</v>
      </c>
      <c r="H123" s="1"/>
      <c r="I123" s="1"/>
      <c r="J123" s="1"/>
      <c r="K123" s="1"/>
      <c r="L123" s="1"/>
      <c r="M123" s="1"/>
      <c r="N123" s="1"/>
      <c r="O123" s="1"/>
      <c r="P123" s="1"/>
      <c r="Q123" s="171"/>
      <c r="R123" s="120"/>
      <c r="S123" s="121"/>
      <c r="T123" s="172" t="s">
        <v>66</v>
      </c>
      <c r="U123" s="3"/>
      <c r="V123" s="3"/>
      <c r="W123" s="3"/>
      <c r="X123" s="3"/>
      <c r="Y123" s="3"/>
      <c r="Z123" s="1"/>
      <c r="AA123" s="1"/>
      <c r="AB123" s="163"/>
      <c r="AC123" s="138"/>
      <c r="AE123" s="164" t="s">
        <v>67</v>
      </c>
      <c r="AF123" s="165"/>
      <c r="AG123" s="165"/>
      <c r="AH123" s="165"/>
      <c r="AI123" s="165"/>
      <c r="AJ123" s="165"/>
      <c r="AK123" s="173">
        <f>COUNTA($B$13:$B$62)</f>
        <v>0</v>
      </c>
      <c r="AL123" s="173">
        <f>COUNTA($B$64:$B$113)</f>
        <v>0</v>
      </c>
      <c r="AM123" s="153">
        <f t="shared" si="11"/>
        <v>0</v>
      </c>
      <c r="AQ123" s="1"/>
    </row>
    <row r="124" ht="14.25" customHeight="1" spans="1:43" x14ac:dyDescent="0.25">
      <c r="A124" s="158"/>
      <c r="B124" s="169"/>
      <c r="C124" s="169"/>
      <c r="D124" s="169"/>
      <c r="E124" s="169"/>
      <c r="F124" s="169"/>
      <c r="G124" s="168" t="s">
        <v>68</v>
      </c>
      <c r="H124" s="1"/>
      <c r="I124" s="1"/>
      <c r="J124" s="1"/>
      <c r="K124" s="1"/>
      <c r="L124" s="1"/>
      <c r="M124" s="1"/>
      <c r="N124" s="1"/>
      <c r="O124" s="1"/>
      <c r="P124" s="1"/>
      <c r="Q124" s="120"/>
      <c r="R124" s="120"/>
      <c r="S124" s="121"/>
      <c r="T124" s="172" t="s">
        <v>69</v>
      </c>
      <c r="U124" s="1"/>
      <c r="V124" s="1"/>
      <c r="W124" s="1"/>
      <c r="X124" s="1"/>
      <c r="Y124" s="3"/>
      <c r="Z124" s="1"/>
      <c r="AA124" s="1"/>
      <c r="AB124" s="163"/>
      <c r="AC124" s="138"/>
      <c r="AE124" s="164"/>
      <c r="AF124" s="165"/>
      <c r="AG124" s="165"/>
      <c r="AH124" s="165"/>
      <c r="AI124" s="165"/>
      <c r="AJ124" s="165"/>
      <c r="AK124" s="174"/>
      <c r="AL124" s="174"/>
      <c r="AM124" s="157"/>
      <c r="AQ124" s="1"/>
    </row>
    <row r="125" ht="15.75" customHeight="1" spans="1:43" x14ac:dyDescent="0.25">
      <c r="A125" s="175" t="s">
        <v>70</v>
      </c>
      <c r="B125" s="159" t="s">
        <v>71</v>
      </c>
      <c r="C125" s="159"/>
      <c r="D125" s="159"/>
      <c r="E125" s="159"/>
      <c r="F125" s="159"/>
      <c r="G125" s="160" t="s">
        <v>72</v>
      </c>
      <c r="H125" s="1"/>
      <c r="I125" s="1"/>
      <c r="J125" s="1"/>
      <c r="K125" s="1"/>
      <c r="L125" s="1"/>
      <c r="M125" s="1"/>
      <c r="N125" s="1"/>
      <c r="O125" s="1"/>
      <c r="P125" s="1"/>
      <c r="Q125" s="161" t="s">
        <v>58</v>
      </c>
      <c r="R125" s="1"/>
      <c r="S125" s="121"/>
      <c r="T125" s="172" t="s">
        <v>73</v>
      </c>
      <c r="U125" s="1"/>
      <c r="V125" s="1"/>
      <c r="W125" s="1"/>
      <c r="X125" s="1"/>
      <c r="Y125" s="1"/>
      <c r="Z125" s="1"/>
      <c r="AA125" s="1"/>
      <c r="AB125" s="163"/>
      <c r="AC125" s="138"/>
      <c r="AE125" s="176" t="s">
        <v>74</v>
      </c>
      <c r="AF125" s="177"/>
      <c r="AG125" s="177"/>
      <c r="AH125" s="177"/>
      <c r="AI125" s="177"/>
      <c r="AJ125" s="177"/>
      <c r="AK125" s="178" t="e">
        <f t="shared" ref="AK125:AM125" si="12">AK123/AK119</f>
        <v>#DIV/0!</v>
      </c>
      <c r="AL125" s="178" t="e">
        <f t="shared" si="12"/>
        <v>#DIV/0!</v>
      </c>
      <c r="AM125" s="179" t="e">
        <f t="shared" si="12"/>
        <v>#DIV/0!</v>
      </c>
      <c r="AQ125" s="1"/>
    </row>
    <row r="126" ht="19.5" customHeight="1" spans="1:43" x14ac:dyDescent="0.25">
      <c r="A126" s="175"/>
      <c r="B126" s="159"/>
      <c r="C126" s="159"/>
      <c r="D126" s="159"/>
      <c r="E126" s="159"/>
      <c r="F126" s="159"/>
      <c r="G126" s="161" t="s">
        <v>75</v>
      </c>
      <c r="H126" s="1"/>
      <c r="I126" s="1"/>
      <c r="J126" s="1"/>
      <c r="K126" s="1"/>
      <c r="L126" s="1"/>
      <c r="M126" s="1"/>
      <c r="N126" s="1"/>
      <c r="O126" s="1"/>
      <c r="P126" s="1"/>
      <c r="Q126" s="1"/>
      <c r="R126" s="1"/>
      <c r="S126" s="121"/>
      <c r="T126" s="172" t="s">
        <v>76</v>
      </c>
      <c r="U126" s="1"/>
      <c r="V126" s="1"/>
      <c r="W126" s="1"/>
      <c r="X126" s="1"/>
      <c r="Y126" s="1"/>
      <c r="Z126" s="1"/>
      <c r="AA126" s="1"/>
      <c r="AB126" s="163"/>
      <c r="AC126" s="138"/>
      <c r="AE126" s="176"/>
      <c r="AF126" s="177"/>
      <c r="AG126" s="177"/>
      <c r="AH126" s="177"/>
      <c r="AI126" s="177"/>
      <c r="AJ126" s="177"/>
      <c r="AK126" s="180"/>
      <c r="AL126" s="180"/>
      <c r="AM126" s="181"/>
      <c r="AQ126" s="1"/>
    </row>
    <row r="127" ht="26.25" customHeight="1" spans="1:43" x14ac:dyDescent="0.25">
      <c r="A127" s="135"/>
      <c r="B127" s="135"/>
      <c r="C127" s="135"/>
      <c r="D127" s="135"/>
      <c r="E127" s="135"/>
      <c r="F127" s="135"/>
      <c r="G127" s="1"/>
      <c r="H127" s="1"/>
      <c r="I127" s="1"/>
      <c r="J127" s="1"/>
      <c r="K127" s="1"/>
      <c r="L127" s="1"/>
      <c r="M127" s="1"/>
      <c r="N127" s="1"/>
      <c r="O127" s="1"/>
      <c r="P127" s="161"/>
      <c r="Q127" s="161"/>
      <c r="R127" s="120"/>
      <c r="S127" s="121"/>
      <c r="T127" s="162" t="s">
        <v>77</v>
      </c>
      <c r="U127" s="1"/>
      <c r="V127" s="1"/>
      <c r="W127" s="1"/>
      <c r="X127" s="1"/>
      <c r="Y127" s="1"/>
      <c r="Z127" s="1"/>
      <c r="AA127" s="1"/>
      <c r="AB127" s="3"/>
      <c r="AC127" s="138"/>
      <c r="AE127" s="182" t="s">
        <v>78</v>
      </c>
      <c r="AF127" s="183"/>
      <c r="AG127" s="183"/>
      <c r="AH127" s="183"/>
      <c r="AI127" s="183"/>
      <c r="AJ127" s="183"/>
      <c r="AK127" s="184">
        <f>AG63/AJ117</f>
        <v>0</v>
      </c>
      <c r="AL127" s="184">
        <f>AG114/AJ117</f>
        <v>0</v>
      </c>
      <c r="AM127" s="185">
        <f>AG115/AJ117</f>
        <v>0</v>
      </c>
      <c r="AQ127" s="1"/>
    </row>
    <row r="128" ht="16.5" customHeight="1" spans="1:43" x14ac:dyDescent="0.25">
      <c r="A128" s="186" t="s">
        <v>79</v>
      </c>
      <c r="B128" s="186"/>
      <c r="C128" s="186"/>
      <c r="D128" s="186"/>
      <c r="E128" s="186"/>
      <c r="F128" s="186"/>
      <c r="G128" s="1"/>
      <c r="H128" s="1"/>
      <c r="I128" s="1"/>
      <c r="J128" s="1"/>
      <c r="K128" s="1"/>
      <c r="L128" s="1"/>
      <c r="M128" s="1"/>
      <c r="N128" s="1"/>
      <c r="O128" s="1"/>
      <c r="P128" s="1"/>
      <c r="Q128" s="1"/>
      <c r="R128" s="171"/>
      <c r="S128" s="121"/>
      <c r="T128" s="172" t="s">
        <v>80</v>
      </c>
      <c r="U128" s="1"/>
      <c r="V128" s="1"/>
      <c r="W128" s="1"/>
      <c r="X128" s="1"/>
      <c r="Y128" s="1"/>
      <c r="Z128" s="1"/>
      <c r="AA128" s="1"/>
      <c r="AB128" s="163"/>
      <c r="AC128" s="138"/>
      <c r="AE128" s="164" t="s">
        <v>81</v>
      </c>
      <c r="AF128" s="165"/>
      <c r="AG128" s="165"/>
      <c r="AH128" s="165"/>
      <c r="AI128" s="165"/>
      <c r="AJ128" s="165"/>
      <c r="AK128" s="187" t="e">
        <f t="shared" ref="AK128:AM128" si="13">AK127/AK123</f>
        <v>#DIV/0!</v>
      </c>
      <c r="AL128" s="187" t="e">
        <f t="shared" si="13"/>
        <v>#DIV/0!</v>
      </c>
      <c r="AM128" s="188" t="e">
        <f t="shared" si="13"/>
        <v>#DIV/0!</v>
      </c>
      <c r="AQ128" s="1"/>
    </row>
    <row r="129" ht="15.75" customHeight="1" spans="1:43" x14ac:dyDescent="0.25">
      <c r="A129" s="186"/>
      <c r="B129" s="186"/>
      <c r="C129" s="186"/>
      <c r="D129" s="186"/>
      <c r="E129" s="186"/>
      <c r="F129" s="186"/>
      <c r="G129" s="1"/>
      <c r="H129" s="1"/>
      <c r="I129" s="1"/>
      <c r="J129" s="1"/>
      <c r="K129" s="1"/>
      <c r="L129" s="1"/>
      <c r="M129" s="1"/>
      <c r="N129" s="1"/>
      <c r="O129" s="1"/>
      <c r="P129" s="1"/>
      <c r="Q129" s="1"/>
      <c r="R129" s="171"/>
      <c r="S129" s="121"/>
      <c r="T129" s="172" t="s">
        <v>82</v>
      </c>
      <c r="U129" s="1"/>
      <c r="V129" s="1"/>
      <c r="W129" s="1"/>
      <c r="X129" s="1"/>
      <c r="Y129" s="1"/>
      <c r="Z129" s="1"/>
      <c r="AA129" s="1"/>
      <c r="AB129" s="163"/>
      <c r="AC129" s="138"/>
      <c r="AE129" s="164"/>
      <c r="AF129" s="165"/>
      <c r="AG129" s="165"/>
      <c r="AH129" s="165"/>
      <c r="AI129" s="165"/>
      <c r="AJ129" s="165"/>
      <c r="AK129" s="174"/>
      <c r="AL129" s="187"/>
      <c r="AM129" s="188"/>
      <c r="AQ129" s="1"/>
    </row>
    <row r="130" ht="15.75" customHeight="1" spans="1:43" x14ac:dyDescent="0.25">
      <c r="A130" s="189" t="s">
        <v>83</v>
      </c>
      <c r="B130" s="189"/>
      <c r="C130" s="189"/>
      <c r="D130" s="189"/>
      <c r="E130" s="189"/>
      <c r="F130" s="189"/>
      <c r="G130" s="1"/>
      <c r="H130" s="1"/>
      <c r="I130" s="1"/>
      <c r="J130" s="1"/>
      <c r="K130" s="1"/>
      <c r="L130" s="1"/>
      <c r="M130" s="1"/>
      <c r="N130" s="1"/>
      <c r="O130" s="1"/>
      <c r="P130" s="1"/>
      <c r="Q130" s="1"/>
      <c r="R130" s="1"/>
      <c r="S130" s="121"/>
      <c r="T130" s="172" t="s">
        <v>84</v>
      </c>
      <c r="U130" s="1"/>
      <c r="V130" s="1"/>
      <c r="W130" s="1"/>
      <c r="X130" s="1"/>
      <c r="Y130" s="1"/>
      <c r="Z130" s="1"/>
      <c r="AA130" s="1"/>
      <c r="AB130" s="163"/>
      <c r="AC130" s="138"/>
      <c r="AD130" s="190"/>
      <c r="AE130" s="164" t="s">
        <v>85</v>
      </c>
      <c r="AF130" s="165"/>
      <c r="AG130" s="165"/>
      <c r="AH130" s="165"/>
      <c r="AI130" s="165"/>
      <c r="AJ130" s="165"/>
      <c r="AK130" s="191">
        <v>0</v>
      </c>
      <c r="AL130" s="191">
        <v>0</v>
      </c>
      <c r="AM130" s="192">
        <f t="shared" ref="AM130:AM134" si="14">AK130+AL130</f>
        <v>0</v>
      </c>
      <c r="AQ130" s="1"/>
    </row>
    <row r="131" ht="16.5" customHeight="1" spans="1:43" x14ac:dyDescent="0.25">
      <c r="A131" s="189"/>
      <c r="B131" s="189"/>
      <c r="C131" s="189"/>
      <c r="D131" s="189"/>
      <c r="E131" s="189"/>
      <c r="F131" s="189"/>
      <c r="G131" s="1"/>
      <c r="H131" s="1"/>
      <c r="I131" s="1"/>
      <c r="J131" s="1"/>
      <c r="K131" s="1"/>
      <c r="L131" s="1"/>
      <c r="M131" s="1"/>
      <c r="N131" s="1"/>
      <c r="O131" s="1"/>
      <c r="P131" s="1"/>
      <c r="Q131" s="1"/>
      <c r="R131" s="1"/>
      <c r="S131" s="121"/>
      <c r="T131" s="172" t="s">
        <v>86</v>
      </c>
      <c r="U131" s="1"/>
      <c r="V131" s="1"/>
      <c r="W131" s="1"/>
      <c r="X131" s="1"/>
      <c r="Y131" s="1"/>
      <c r="Z131" s="1"/>
      <c r="AA131" s="1"/>
      <c r="AB131" s="3"/>
      <c r="AC131" s="138"/>
      <c r="AE131" s="164"/>
      <c r="AF131" s="165"/>
      <c r="AG131" s="165"/>
      <c r="AH131" s="165"/>
      <c r="AI131" s="165"/>
      <c r="AJ131" s="165"/>
      <c r="AK131" s="152"/>
      <c r="AL131" s="152"/>
      <c r="AM131" s="153"/>
      <c r="AQ131" s="1"/>
    </row>
    <row r="132" ht="14.25" customHeight="1" spans="1:43" x14ac:dyDescent="0.25">
      <c r="A132" s="120" t="s">
        <v>87</v>
      </c>
      <c r="B132" s="186"/>
      <c r="C132" s="186"/>
      <c r="D132" s="186"/>
      <c r="E132" s="186"/>
      <c r="F132" s="186"/>
      <c r="G132" s="193"/>
      <c r="H132" s="193"/>
      <c r="I132" s="193"/>
      <c r="J132" s="193"/>
      <c r="K132" s="193"/>
      <c r="L132" s="193"/>
      <c r="M132" s="193"/>
      <c r="N132" s="193"/>
      <c r="O132" s="193"/>
      <c r="P132" s="193"/>
      <c r="Q132" s="193"/>
      <c r="R132" s="171"/>
      <c r="S132" s="121"/>
      <c r="T132" s="172" t="s">
        <v>88</v>
      </c>
      <c r="U132" s="1"/>
      <c r="V132" s="1"/>
      <c r="W132" s="1"/>
      <c r="X132" s="1"/>
      <c r="Y132" s="1"/>
      <c r="Z132" s="1"/>
      <c r="AA132" s="1"/>
      <c r="AB132" s="163"/>
      <c r="AC132" s="138"/>
      <c r="AE132" s="194" t="s">
        <v>89</v>
      </c>
      <c r="AF132" s="195"/>
      <c r="AG132" s="195"/>
      <c r="AH132" s="195"/>
      <c r="AI132" s="195"/>
      <c r="AJ132" s="195"/>
      <c r="AK132" s="196">
        <f>COUNTIF(AH13:AI62,"NLS")</f>
        <v>0</v>
      </c>
      <c r="AL132" s="196">
        <f>COUNTIF(AH64:AI113,"NLS")</f>
        <v>0</v>
      </c>
      <c r="AM132" s="167">
        <f t="shared" si="14"/>
        <v>0</v>
      </c>
      <c r="AQ132" s="1"/>
    </row>
    <row r="133" ht="15.75" customHeight="1" spans="1:43" x14ac:dyDescent="0.25">
      <c r="A133" s="158" t="s">
        <v>90</v>
      </c>
      <c r="B133" s="189" t="s">
        <v>91</v>
      </c>
      <c r="C133" s="189"/>
      <c r="D133" s="189"/>
      <c r="E133" s="189"/>
      <c r="F133" s="189"/>
      <c r="G133" s="1"/>
      <c r="H133" s="1"/>
      <c r="I133" s="1"/>
      <c r="J133" s="1"/>
      <c r="K133" s="1"/>
      <c r="L133" s="1"/>
      <c r="M133" s="1"/>
      <c r="N133" s="1"/>
      <c r="O133" s="1"/>
      <c r="P133" s="1"/>
      <c r="Q133" s="1"/>
      <c r="R133" s="120"/>
      <c r="S133" s="121"/>
      <c r="T133" s="172" t="s">
        <v>92</v>
      </c>
      <c r="U133" s="1"/>
      <c r="V133" s="1"/>
      <c r="W133" s="1"/>
      <c r="X133" s="1"/>
      <c r="Y133" s="1"/>
      <c r="Z133" s="1"/>
      <c r="AA133" s="1"/>
      <c r="AB133" s="3"/>
      <c r="AC133" s="138"/>
      <c r="AE133" s="194"/>
      <c r="AF133" s="195"/>
      <c r="AG133" s="195"/>
      <c r="AH133" s="195"/>
      <c r="AI133" s="195"/>
      <c r="AJ133" s="195"/>
      <c r="AK133" s="196"/>
      <c r="AL133" s="196"/>
      <c r="AM133" s="167"/>
      <c r="AQ133" s="1"/>
    </row>
    <row r="134" ht="15.75" customHeight="1" spans="7:43" x14ac:dyDescent="0.25">
      <c r="G134" s="119"/>
      <c r="H134" s="119"/>
      <c r="I134" s="119"/>
      <c r="J134" s="119"/>
      <c r="K134" s="197"/>
      <c r="L134" s="197"/>
      <c r="M134" s="197"/>
      <c r="N134" s="197"/>
      <c r="O134" s="1"/>
      <c r="P134" s="1"/>
      <c r="Q134" s="1"/>
      <c r="R134" s="1"/>
      <c r="S134" s="121"/>
      <c r="T134" s="172" t="s">
        <v>93</v>
      </c>
      <c r="U134" s="1"/>
      <c r="V134" s="1"/>
      <c r="W134" s="1"/>
      <c r="X134" s="1"/>
      <c r="Y134" s="1"/>
      <c r="Z134" s="1"/>
      <c r="AA134" s="1"/>
      <c r="AC134" s="138"/>
      <c r="AE134" s="194" t="s">
        <v>94</v>
      </c>
      <c r="AF134" s="195"/>
      <c r="AG134" s="195"/>
      <c r="AH134" s="195"/>
      <c r="AI134" s="195"/>
      <c r="AJ134" s="195"/>
      <c r="AK134" s="174">
        <f>COUNTIF(AH13:AI62,"Transferred Out")</f>
        <v>0</v>
      </c>
      <c r="AL134" s="174">
        <f>COUNTIF(AH64:AI113,"Transferred Out")</f>
        <v>0</v>
      </c>
      <c r="AM134" s="157">
        <f t="shared" si="14"/>
        <v>0</v>
      </c>
      <c r="AQ134" s="1"/>
    </row>
    <row r="135" ht="14.25" customHeight="1" spans="2:43" x14ac:dyDescent="0.25">
      <c r="B135" s="119"/>
      <c r="C135" s="119"/>
      <c r="D135" s="119"/>
      <c r="E135" s="119"/>
      <c r="F135" s="119"/>
      <c r="G135" s="119"/>
      <c r="H135" s="119"/>
      <c r="I135" s="119"/>
      <c r="J135" s="119"/>
      <c r="K135" s="1"/>
      <c r="L135" s="1"/>
      <c r="M135" s="1"/>
      <c r="N135" s="1"/>
      <c r="O135" s="1"/>
      <c r="P135" s="1"/>
      <c r="Q135" s="1"/>
      <c r="R135" s="1"/>
      <c r="S135" s="121"/>
      <c r="T135" s="162" t="s">
        <v>95</v>
      </c>
      <c r="U135" s="1"/>
      <c r="V135" s="1"/>
      <c r="W135" s="1"/>
      <c r="X135" s="1"/>
      <c r="Y135" s="1"/>
      <c r="Z135" s="163"/>
      <c r="AA135" s="163"/>
      <c r="AB135" s="163"/>
      <c r="AC135" s="138"/>
      <c r="AE135" s="194"/>
      <c r="AF135" s="195"/>
      <c r="AG135" s="195"/>
      <c r="AH135" s="195"/>
      <c r="AI135" s="195"/>
      <c r="AJ135" s="195"/>
      <c r="AK135" s="174"/>
      <c r="AL135" s="174"/>
      <c r="AM135" s="157"/>
      <c r="AQ135" s="1"/>
    </row>
    <row r="136" ht="15" customHeight="1" spans="2:43" x14ac:dyDescent="0.25">
      <c r="B136" s="198"/>
      <c r="C136" s="198"/>
      <c r="D136" s="198"/>
      <c r="E136" s="198"/>
      <c r="F136" s="198"/>
      <c r="G136" s="1"/>
      <c r="H136" s="1"/>
      <c r="I136" s="1"/>
      <c r="J136" s="1"/>
      <c r="K136" s="1"/>
      <c r="L136" s="1"/>
      <c r="M136" s="1"/>
      <c r="N136" s="1"/>
      <c r="O136" s="1"/>
      <c r="P136" s="1"/>
      <c r="Q136" s="1"/>
      <c r="R136" s="1"/>
      <c r="S136" s="121"/>
      <c r="T136" s="172" t="s">
        <v>96</v>
      </c>
      <c r="U136" s="1"/>
      <c r="V136" s="1"/>
      <c r="W136" s="1"/>
      <c r="X136" s="1"/>
      <c r="Y136" s="1"/>
      <c r="Z136" s="1"/>
      <c r="AA136" s="1"/>
      <c r="AC136" s="138"/>
      <c r="AD136" s="148"/>
      <c r="AE136" s="194" t="s">
        <v>97</v>
      </c>
      <c r="AF136" s="195"/>
      <c r="AG136" s="195"/>
      <c r="AH136" s="195"/>
      <c r="AI136" s="195"/>
      <c r="AJ136" s="195"/>
      <c r="AK136" s="174">
        <f>COUNTIF(AH13:AI62,"Transferred In")</f>
        <v>0</v>
      </c>
      <c r="AL136" s="174">
        <f>COUNTIF(AH64:AI113,"Transferred In")</f>
        <v>0</v>
      </c>
      <c r="AM136" s="157">
        <f>AK136+AL136</f>
        <v>0</v>
      </c>
      <c r="AQ136" s="1"/>
    </row>
    <row r="137" ht="15.75" customHeight="1" spans="2:43" x14ac:dyDescent="0.25">
      <c r="B137" s="198"/>
      <c r="C137" s="198"/>
      <c r="D137" s="198"/>
      <c r="E137" s="198"/>
      <c r="F137" s="198"/>
      <c r="G137" s="1"/>
      <c r="H137" s="1"/>
      <c r="I137" s="1"/>
      <c r="J137" s="1"/>
      <c r="K137" s="1"/>
      <c r="L137" s="1"/>
      <c r="M137" s="1"/>
      <c r="N137" s="1"/>
      <c r="O137" s="1"/>
      <c r="P137" s="1"/>
      <c r="Q137" s="1"/>
      <c r="R137" s="1"/>
      <c r="S137" s="121"/>
      <c r="T137" s="172" t="s">
        <v>98</v>
      </c>
      <c r="U137" s="1"/>
      <c r="V137" s="1"/>
      <c r="W137" s="1"/>
      <c r="X137" s="1"/>
      <c r="Y137" s="1"/>
      <c r="Z137" s="1"/>
      <c r="AA137" s="1"/>
      <c r="AC137" s="138"/>
      <c r="AE137" s="199"/>
      <c r="AF137" s="146"/>
      <c r="AG137" s="146"/>
      <c r="AH137" s="146"/>
      <c r="AI137" s="146"/>
      <c r="AJ137" s="146"/>
      <c r="AK137" s="200"/>
      <c r="AL137" s="200"/>
      <c r="AM137" s="201"/>
      <c r="AQ137" s="1"/>
    </row>
    <row r="138" ht="14.25" customHeight="1" spans="2:43" x14ac:dyDescent="0.25">
      <c r="B138" s="3"/>
      <c r="C138" s="3"/>
      <c r="D138" s="3"/>
      <c r="E138" s="3"/>
      <c r="F138" s="3"/>
      <c r="G138" s="1"/>
      <c r="H138" s="1"/>
      <c r="I138" s="1"/>
      <c r="J138" s="1"/>
      <c r="K138" s="1"/>
      <c r="L138" s="1"/>
      <c r="M138" s="1"/>
      <c r="N138" s="1"/>
      <c r="O138" s="1"/>
      <c r="P138" s="1"/>
      <c r="Q138" s="1"/>
      <c r="R138" s="1"/>
      <c r="S138" s="121"/>
      <c r="T138" s="172" t="s">
        <v>99</v>
      </c>
      <c r="U138" s="1"/>
      <c r="V138" s="1"/>
      <c r="W138" s="1"/>
      <c r="X138" s="1"/>
      <c r="Y138" s="1"/>
      <c r="Z138" s="1"/>
      <c r="AA138" s="1"/>
      <c r="AC138" s="138"/>
      <c r="AQ138" s="1"/>
    </row>
    <row r="139" spans="2:43" x14ac:dyDescent="0.25">
      <c r="B139" s="3"/>
      <c r="C139" s="3"/>
      <c r="D139" s="3"/>
      <c r="E139" s="3"/>
      <c r="F139" s="3"/>
      <c r="G139" s="3"/>
      <c r="H139" s="3"/>
      <c r="I139" s="3"/>
      <c r="J139" s="3"/>
      <c r="K139" s="1"/>
      <c r="L139" s="1"/>
      <c r="M139" s="1"/>
      <c r="N139" s="1"/>
      <c r="O139" s="1"/>
      <c r="P139" s="1"/>
      <c r="Q139" s="1"/>
      <c r="R139" s="1"/>
      <c r="S139" s="121"/>
      <c r="T139" s="162" t="s">
        <v>100</v>
      </c>
      <c r="U139" s="1"/>
      <c r="V139" s="1"/>
      <c r="W139" s="1"/>
      <c r="X139" s="1"/>
      <c r="Y139" s="1"/>
      <c r="Z139" s="1"/>
      <c r="AA139" s="1"/>
      <c r="AC139" s="138"/>
      <c r="AE139" s="202" t="s">
        <v>101</v>
      </c>
      <c r="AM139" s="203"/>
      <c r="AQ139" s="1"/>
    </row>
    <row r="140" spans="2:43" x14ac:dyDescent="0.25">
      <c r="B140" s="204"/>
      <c r="C140" s="204"/>
      <c r="D140" s="204"/>
      <c r="E140" s="204"/>
      <c r="F140" s="204"/>
      <c r="G140" s="3"/>
      <c r="H140" s="3"/>
      <c r="I140" s="3"/>
      <c r="J140" s="3"/>
      <c r="K140" s="1"/>
      <c r="L140" s="1"/>
      <c r="M140" s="1"/>
      <c r="N140" s="1"/>
      <c r="O140" s="1"/>
      <c r="P140" s="1"/>
      <c r="Q140" s="1"/>
      <c r="R140" s="1"/>
      <c r="S140" s="121"/>
      <c r="T140" s="172" t="s">
        <v>102</v>
      </c>
      <c r="U140" s="1"/>
      <c r="V140" s="1"/>
      <c r="W140" s="1"/>
      <c r="X140" s="1"/>
      <c r="Y140" s="1"/>
      <c r="Z140" s="1"/>
      <c r="AA140" s="1"/>
      <c r="AC140" s="138"/>
      <c r="AE140" s="205"/>
      <c r="AF140" s="205"/>
      <c r="AG140" s="205"/>
      <c r="AH140" s="205"/>
      <c r="AI140" s="205"/>
      <c r="AJ140" s="205"/>
      <c r="AK140" s="205"/>
      <c r="AL140" s="205"/>
      <c r="AM140" s="205"/>
      <c r="AQ140" s="1"/>
    </row>
    <row r="141" ht="12" customHeight="1" spans="2:43" x14ac:dyDescent="0.25">
      <c r="B141" s="204"/>
      <c r="C141" s="204"/>
      <c r="D141" s="204"/>
      <c r="E141" s="204"/>
      <c r="F141" s="204"/>
      <c r="G141" s="1"/>
      <c r="H141" s="1"/>
      <c r="I141" s="1"/>
      <c r="J141" s="1"/>
      <c r="K141" s="1"/>
      <c r="L141" s="1"/>
      <c r="M141" s="1"/>
      <c r="N141" s="1"/>
      <c r="O141" s="1"/>
      <c r="P141" s="1"/>
      <c r="Q141" s="1"/>
      <c r="R141" s="1"/>
      <c r="S141" s="121"/>
      <c r="T141" s="206" t="s">
        <v>103</v>
      </c>
      <c r="U141" s="1"/>
      <c r="V141" s="1"/>
      <c r="W141" s="1"/>
      <c r="X141" s="1"/>
      <c r="Y141" s="1"/>
      <c r="Z141" s="1"/>
      <c r="AA141" s="1"/>
      <c r="AB141" s="148"/>
      <c r="AC141" s="207"/>
      <c r="AE141" s="97"/>
      <c r="AF141" s="97"/>
      <c r="AG141" s="97"/>
      <c r="AH141" s="97"/>
      <c r="AI141" s="97"/>
      <c r="AJ141" s="97"/>
      <c r="AK141" s="97"/>
      <c r="AL141" s="97"/>
      <c r="AM141" s="97"/>
      <c r="AQ141" s="1"/>
    </row>
    <row r="142" spans="2:43" x14ac:dyDescent="0.25">
      <c r="B142" s="204"/>
      <c r="C142" s="204"/>
      <c r="D142" s="204"/>
      <c r="E142" s="204"/>
      <c r="F142" s="204"/>
      <c r="G142" s="1"/>
      <c r="H142" s="1"/>
      <c r="I142" s="1"/>
      <c r="J142" s="1"/>
      <c r="K142" s="1"/>
      <c r="L142" s="1"/>
      <c r="M142" s="1"/>
      <c r="N142" s="1"/>
      <c r="O142" s="1"/>
      <c r="P142" s="1"/>
      <c r="Q142" s="1"/>
      <c r="R142" s="1"/>
      <c r="S142" s="121"/>
      <c r="T142" s="1"/>
      <c r="U142" s="1"/>
      <c r="V142" s="1"/>
      <c r="W142" s="1"/>
      <c r="X142" s="1"/>
      <c r="Y142" s="1"/>
      <c r="Z142" s="1"/>
      <c r="AA142" s="1"/>
      <c r="AB142" s="148"/>
      <c r="AC142" s="207"/>
      <c r="AE142" s="208" t="s">
        <v>104</v>
      </c>
      <c r="AF142" s="208"/>
      <c r="AG142" s="208"/>
      <c r="AH142" s="208"/>
      <c r="AI142" s="208"/>
      <c r="AJ142" s="208"/>
      <c r="AK142" s="208"/>
      <c r="AL142" s="208"/>
      <c r="AM142" s="208"/>
      <c r="AQ142" s="1"/>
    </row>
    <row r="143" spans="2:43" x14ac:dyDescent="0.25">
      <c r="B143" s="204"/>
      <c r="C143" s="204"/>
      <c r="D143" s="204"/>
      <c r="E143" s="204"/>
      <c r="F143" s="204"/>
      <c r="G143" s="1"/>
      <c r="H143" s="1"/>
      <c r="I143" s="1"/>
      <c r="J143" s="1"/>
      <c r="K143" s="1"/>
      <c r="L143" s="1"/>
      <c r="M143" s="1"/>
      <c r="N143" s="1"/>
      <c r="O143" s="1"/>
      <c r="P143" s="1"/>
      <c r="Q143" s="1"/>
      <c r="R143" s="1"/>
      <c r="S143" s="1"/>
      <c r="T143" s="172" t="s">
        <v>105</v>
      </c>
      <c r="U143" s="1"/>
      <c r="V143" s="1"/>
      <c r="W143" s="1"/>
      <c r="X143" s="1"/>
      <c r="Y143" s="1"/>
      <c r="Z143" s="1"/>
      <c r="AA143" s="1"/>
      <c r="AC143" s="209"/>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2" t="s">
        <v>106</v>
      </c>
      <c r="U144" s="1"/>
      <c r="V144" s="1"/>
      <c r="W144" s="1"/>
      <c r="X144" s="1"/>
      <c r="Y144" s="1"/>
      <c r="Z144" s="1"/>
      <c r="AA144" s="1"/>
      <c r="AC144" s="209"/>
      <c r="AE144" s="1" t="s">
        <v>107</v>
      </c>
      <c r="AG144" s="202"/>
      <c r="AH144" s="202"/>
      <c r="AI144" s="202"/>
      <c r="AJ144" s="202"/>
      <c r="AK144" s="202"/>
      <c r="AL144" s="202"/>
      <c r="AQ144" s="1"/>
    </row>
    <row r="145" ht="27.65" customHeight="1" spans="1:43" x14ac:dyDescent="0.25">
      <c r="A145" s="210"/>
      <c r="B145" s="210"/>
      <c r="C145" s="210"/>
      <c r="D145" s="210"/>
      <c r="E145" s="210"/>
      <c r="F145" s="210"/>
      <c r="G145" s="1"/>
      <c r="H145" s="1"/>
      <c r="I145" s="1"/>
      <c r="J145" s="1"/>
      <c r="K145" s="1"/>
      <c r="L145" s="1"/>
      <c r="M145" s="1"/>
      <c r="N145" s="1"/>
      <c r="O145" s="1"/>
      <c r="P145" s="1"/>
      <c r="Q145" s="1"/>
      <c r="R145" s="1"/>
      <c r="S145" s="1"/>
      <c r="T145" s="172" t="s">
        <v>108</v>
      </c>
      <c r="U145" s="1"/>
      <c r="V145" s="1"/>
      <c r="W145" s="1"/>
      <c r="X145" s="1"/>
      <c r="Y145" s="1"/>
      <c r="Z145" s="1"/>
      <c r="AA145" s="1"/>
      <c r="AC145" s="209"/>
      <c r="AE145" s="97"/>
      <c r="AF145" s="97"/>
      <c r="AG145" s="97"/>
      <c r="AH145" s="97"/>
      <c r="AI145" s="97"/>
      <c r="AJ145" s="97"/>
      <c r="AK145" s="97"/>
      <c r="AL145" s="97"/>
      <c r="AM145" s="97"/>
      <c r="AQ145" s="1"/>
    </row>
    <row r="146" ht="14.25" customHeight="1" spans="1:43" x14ac:dyDescent="0.25">
      <c r="A146" s="210"/>
      <c r="B146" s="210"/>
      <c r="C146" s="210"/>
      <c r="D146" s="210"/>
      <c r="E146" s="210"/>
      <c r="F146" s="210"/>
      <c r="G146" s="1"/>
      <c r="H146" s="1"/>
      <c r="I146" s="1"/>
      <c r="J146" s="1"/>
      <c r="K146" s="1"/>
      <c r="L146" s="1"/>
      <c r="M146" s="1"/>
      <c r="N146" s="1"/>
      <c r="O146" s="1"/>
      <c r="P146" s="1"/>
      <c r="Q146" s="1"/>
      <c r="R146" s="1"/>
      <c r="S146" s="1"/>
      <c r="T146" s="211" t="s">
        <v>109</v>
      </c>
      <c r="U146" s="212"/>
      <c r="V146" s="212"/>
      <c r="W146" s="212"/>
      <c r="X146" s="212"/>
      <c r="Y146" s="212"/>
      <c r="Z146" s="212"/>
      <c r="AA146" s="212"/>
      <c r="AB146" s="212"/>
      <c r="AC146" s="213"/>
      <c r="AE146" s="208" t="s">
        <v>110</v>
      </c>
      <c r="AF146" s="208"/>
      <c r="AG146" s="208"/>
      <c r="AH146" s="208"/>
      <c r="AI146" s="208"/>
      <c r="AJ146" s="208"/>
      <c r="AK146" s="208"/>
      <c r="AL146" s="208"/>
      <c r="AM146" s="208"/>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