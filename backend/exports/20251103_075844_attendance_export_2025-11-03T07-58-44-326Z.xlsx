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Default Extension="vml" ContentType="application/vnd.openxmlformats-officedocument.vmlDrawing"/>
  <Override PartName="/xl/comments17.xml" ContentType="application/vnd.openxmlformats-officedocument.spreadsheetml.comments+xml"/>
  <Override PartName="/xl/comments16.xml" ContentType="application/vnd.openxmlformats-officedocument.spreadsheetml.comments+xml"/>
  <Override PartName="/xl/comments15.xml" ContentType="application/vnd.openxmlformats-officedocument.spreadsheetml.comments+xml"/>
  <Override PartName="/xl/comments7.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25820" windowHeight="13900" activeTab="1"/>
  </bookViews>
  <sheets>
    <sheet sheetId="17" name="JUN" state="visible" r:id="rId4"/>
    <sheet sheetId="16" name="JUL" state="visible" r:id="rId5"/>
    <sheet sheetId="15" name="AUG" state="visible" r:id="rId6"/>
    <sheet sheetId="7" name="SEP" state="visible" r:id="rId7"/>
    <sheet sheetId="9" name="OCT" state="visible" r:id="rId8"/>
    <sheet sheetId="10" name="NOV" state="visible" r:id="rId9"/>
    <sheet sheetId="11" name="DEC" state="visible" r:id="rId10"/>
    <sheet sheetId="12" name="JAN" state="visible" r:id="rId11"/>
    <sheet sheetId="13" name="FEB" state="visible" r:id="rId12"/>
    <sheet sheetId="14" name="MAR" state="visible" r:id="rId13"/>
    <sheet sheetId="1" name="Scans" state="visible" r:id="rId14"/>
  </sheets>
  <definedNames>
    <definedName name="_xlnm.Print_Area" localSheetId="0">'JUN'!$A1:$AN146</definedName>
    <definedName name="_xlnm.Print_Titles" localSheetId="0">'JUN'!$9:$11</definedName>
    <definedName name="_xlnm.Print_Area" localSheetId="1">'JUL'!$A1:$AN146</definedName>
    <definedName name="_xlnm.Print_Titles" localSheetId="1">'JUL'!$9:$11</definedName>
    <definedName name="_xlnm.Print_Area" localSheetId="2">'AUG'!$A1:$AN146</definedName>
    <definedName name="_xlnm.Print_Titles" localSheetId="2">'AUG'!$9:$11</definedName>
    <definedName name="_xlnm.Print_Area" localSheetId="3">'SEP'!$A1:$AN146</definedName>
    <definedName name="_xlnm.Print_Titles" localSheetId="3">'SEP'!$9:$11</definedName>
    <definedName name="_xlnm.Print_Area" localSheetId="4">'OCT'!$A1:$AN146</definedName>
    <definedName name="_xlnm.Print_Titles" localSheetId="4">'OCT'!$9:$11</definedName>
    <definedName name="_xlnm.Print_Area" localSheetId="5">'NOV'!$A1:$AN146</definedName>
    <definedName name="_xlnm.Print_Titles" localSheetId="5">'NOV'!$9:$11</definedName>
    <definedName name="_xlnm.Print_Area" localSheetId="6">'DEC'!$A1:$AN146</definedName>
    <definedName name="_xlnm.Print_Titles" localSheetId="6">'DEC'!$9:$11</definedName>
    <definedName name="_xlnm.Print_Area" localSheetId="7">'JAN'!$A1:$AN146</definedName>
    <definedName name="_xlnm.Print_Titles" localSheetId="7">'JAN'!$9:$11</definedName>
    <definedName name="_xlnm.Print_Area" localSheetId="8">'FEB'!$A1:$AN146</definedName>
    <definedName name="_xlnm.Print_Titles" localSheetId="8">'FEB'!$9:$11</definedName>
    <definedName name="_xlnm.Print_Area" localSheetId="9">'MAR'!$A1:$AN146</definedName>
    <definedName name="_xlnm.Print_Titles" localSheetId="9">'MAR'!$9:$11</definedName>
  </definedNames>
  <calcPr calcId="171027"/>
</workbook>
</file>

<file path=xl/comments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9.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0.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1.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2.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3.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4.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5.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6.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comments17.xml><?xml version="1.0" encoding="utf-8"?>
<comments xmlns="http://schemas.openxmlformats.org/spreadsheetml/2006/main">
  <authors>
    <author>Author</author>
  </authors>
  <commentList>
    <comment ref="AQ9" authorId="0">
      <text>
        <r>
          <rPr>
            <b/>
            <charset val="134"/>
            <sz val="11"/>
            <rFont val="Bookman Old Style"/>
          </rPr>
          <t xml:space="preserve">Educators Files:
</t>
        </r>
        <r>
          <rPr>
            <charset val="134"/>
            <sz val="11"/>
            <rFont val="Bookman Old Style"/>
          </rPr>
          <t>Do not forget to change/update the number of school days.</t>
        </r>
      </text>
    </comment>
  </commentList>
</comments>
</file>

<file path=xl/sharedStrings.xml><?xml version="1.0" encoding="utf-8"?>
<sst xmlns="http://schemas.openxmlformats.org/spreadsheetml/2006/main" count="2316" uniqueCount="148">
  <si>
    <t>School Form 2 (SF2) Daily Attendance Report of Learners</t>
  </si>
  <si>
    <t>(This replaces Form 1, Form 2 &amp; STS Form 4 - Absenteeism and Dropout Profile)</t>
  </si>
  <si>
    <t>School ID</t>
  </si>
  <si>
    <t>School Year</t>
  </si>
  <si>
    <t>2025-2026</t>
  </si>
  <si>
    <t>Report for the  Month of</t>
  </si>
  <si>
    <t>JUNE</t>
  </si>
  <si>
    <t>THIS PART WILL NOT BE PRINTED.</t>
  </si>
  <si>
    <t>Name of School</t>
  </si>
  <si>
    <t>Grade Level</t>
  </si>
  <si>
    <t>Section</t>
  </si>
  <si>
    <t xml:space="preserve">LEARNER'S NAME                                                                                         (Last Name, First Name, Middle Name)                                  </t>
  </si>
  <si>
    <t>(1st row for date, 2nd row for Day: M,T,W,TH,F)</t>
  </si>
  <si>
    <t xml:space="preserve">Total for the Month             </t>
  </si>
  <si>
    <t>REMARKS (If NLS, state reason, please refer to legend number 2. If TRANSFERRED IN/OUT, write the name of School.)</t>
  </si>
  <si>
    <t>No of School Days:</t>
  </si>
  <si>
    <t>M</t>
  </si>
  <si>
    <t>T</t>
  </si>
  <si>
    <t>W</t>
  </si>
  <si>
    <t>TH</t>
  </si>
  <si>
    <t>F</t>
  </si>
  <si>
    <t>ABSENT</t>
  </si>
  <si>
    <t>PRESENT</t>
  </si>
  <si>
    <t>ALMONIA, Rovic</t>
  </si>
  <si>
    <t>X</t>
  </si>
  <si>
    <t>Code:</t>
  </si>
  <si>
    <t>TEVES, Jhunel Cris B</t>
  </si>
  <si>
    <t>[blank]</t>
  </si>
  <si>
    <t>present</t>
  </si>
  <si>
    <t>teves</t>
  </si>
  <si>
    <t>x</t>
  </si>
  <si>
    <t>absent</t>
  </si>
  <si>
    <t>h</t>
  </si>
  <si>
    <t>half-day (optional)</t>
  </si>
  <si>
    <t>Note:</t>
  </si>
  <si>
    <t>Please remember to include only the days when there are classes.</t>
  </si>
  <si>
    <t>MALE  | TOTAL Per Day</t>
  </si>
  <si>
    <t>MABAO, Wendy</t>
  </si>
  <si>
    <t>SAMBLING, Kyle</t>
  </si>
  <si>
    <t>SANDE, Shaire</t>
  </si>
  <si>
    <t>egdgwe</t>
  </si>
  <si>
    <t>tjeherh</t>
  </si>
  <si>
    <t>FEMALE  | TOTAL Per Day</t>
  </si>
  <si>
    <t xml:space="preserve">    Combined TOTAL PER DAY</t>
  </si>
  <si>
    <t>GUIDELINES:</t>
  </si>
  <si>
    <t>1. CODES FOR CHECKING ATTENDANCE</t>
  </si>
  <si>
    <t>Month:</t>
  </si>
  <si>
    <t>No. of Days of Classes:</t>
  </si>
  <si>
    <t>Summary for the Month</t>
  </si>
  <si>
    <t>1. The attendance shall be accomplished daily. Refer to the codes for checking learners' attendance.</t>
  </si>
  <si>
    <r>
      <rPr>
        <b/>
        <charset val="134"/>
        <color theme="1"/>
        <sz val="11"/>
        <rFont val="Arial Narrow"/>
      </rPr>
      <t xml:space="preserve">blank- </t>
    </r>
    <r>
      <rPr>
        <charset val="134"/>
        <color theme="1"/>
        <sz val="11"/>
        <rFont val="Arial Narrow"/>
      </rPr>
      <t>Present;   (x)- Absent; Tardy (half shaded= Upper for Late Commer, Lower for Cutting Classes)</t>
    </r>
  </si>
  <si>
    <t>TOTAL</t>
  </si>
  <si>
    <t>2. Dates shall be written in the preceding columns beside Learner's Name.</t>
  </si>
  <si>
    <t>* Enrolment  as of  (1st Friday of the SY)</t>
  </si>
  <si>
    <t>3. To compute the following:</t>
  </si>
  <si>
    <t>a.</t>
  </si>
  <si>
    <t>Percentage of Enrolment =</t>
  </si>
  <si>
    <t>Registered Learner as of End of the Month</t>
  </si>
  <si>
    <t>x 100</t>
  </si>
  <si>
    <t>2. REASONS/CAUSES FOR NLS</t>
  </si>
  <si>
    <r>
      <rPr>
        <i/>
        <charset val="134"/>
        <color theme="1"/>
        <sz val="12"/>
        <rFont val="Arial Narrow"/>
      </rPr>
      <t xml:space="preserve">Late Enrollment </t>
    </r>
    <r>
      <rPr>
        <b/>
        <i/>
        <charset val="134"/>
        <color theme="1"/>
        <sz val="12"/>
        <rFont val="Arial Narrow"/>
      </rPr>
      <t xml:space="preserve">during the month </t>
    </r>
    <r>
      <rPr>
        <i/>
        <charset val="134"/>
        <color theme="1"/>
        <sz val="12"/>
        <rFont val="Arial Narrow"/>
      </rPr>
      <t xml:space="preserve">                                              (beyond cut-off)</t>
    </r>
  </si>
  <si>
    <t>Enrolment as of 1st Friday of the SY</t>
  </si>
  <si>
    <t>a. Domestic-Related Factors</t>
  </si>
  <si>
    <t>b.</t>
  </si>
  <si>
    <t xml:space="preserve">Average Daily Attendance = </t>
  </si>
  <si>
    <t>Total Daily Attendance</t>
  </si>
  <si>
    <t>a.1. Had to take care of siblings</t>
  </si>
  <si>
    <r>
      <rPr>
        <i/>
        <charset val="134"/>
        <color theme="1"/>
        <sz val="12"/>
        <rFont val="Arial Narrow"/>
      </rPr>
      <t xml:space="preserve">Registered Learner as of </t>
    </r>
    <r>
      <rPr>
        <b/>
        <i/>
        <charset val="134"/>
        <color theme="1"/>
        <sz val="12"/>
        <rFont val="Arial Narrow"/>
      </rPr>
      <t>end of the month</t>
    </r>
  </si>
  <si>
    <t>Number of School Days in reporting month</t>
  </si>
  <si>
    <t>a.2. Early marriage/pregnancy</t>
  </si>
  <si>
    <t>c.</t>
  </si>
  <si>
    <t>Percentage of Attendance for the month =</t>
  </si>
  <si>
    <t>Average daily attendance</t>
  </si>
  <si>
    <t>a.3. Parents' attitude toward schooling</t>
  </si>
  <si>
    <r>
      <rPr>
        <i/>
        <charset val="134"/>
        <color theme="1"/>
        <sz val="12"/>
        <rFont val="Arial Narrow"/>
      </rPr>
      <t>Percentage of Enrolment as of</t>
    </r>
    <r>
      <rPr>
        <b/>
        <i/>
        <charset val="134"/>
        <color theme="1"/>
        <sz val="12"/>
        <rFont val="Arial Narrow"/>
      </rPr>
      <t xml:space="preserve"> end of the month</t>
    </r>
  </si>
  <si>
    <t>Registered Learner as of End of the month</t>
  </si>
  <si>
    <t>a.4. Family problems</t>
  </si>
  <si>
    <t>b. Individual-Related Factors</t>
  </si>
  <si>
    <t>Average Daily Attendance</t>
  </si>
  <si>
    <t xml:space="preserve">4. Every End of the month, the class adviser will submit this form to the office of the principal for recording of 
     summary table into the School Form 4. Once signed by the principal, this form should be returned to the adviser.</t>
  </si>
  <si>
    <t>b.1. Illness</t>
  </si>
  <si>
    <t xml:space="preserve">Percentage of Attendance for the month </t>
  </si>
  <si>
    <t>b.2. Overage</t>
  </si>
  <si>
    <t>5. The adviser will extend neccessary intervention including but not limited to home visitation  to learner/s that committed 5 consecutive days of absences or those with potentials of dropping out</t>
  </si>
  <si>
    <t>b.3. Death</t>
  </si>
  <si>
    <t>Number of students with 5 consecutive days of absences:</t>
  </si>
  <si>
    <t>b.4. Drug Abuse</t>
  </si>
  <si>
    <t>6.  Attendance performance of learner is expected to reflect in Form 137 and Form 138 every grading period</t>
  </si>
  <si>
    <t>b.5. Poor academic performance</t>
  </si>
  <si>
    <t>NLS</t>
  </si>
  <si>
    <t>*</t>
  </si>
  <si>
    <t>Beginning of School Year cut-off report is every 1st Friday of the School Year</t>
  </si>
  <si>
    <t>b.6. Lack of interest/Distractions</t>
  </si>
  <si>
    <t>b.7. Hunger/Malnutrition</t>
  </si>
  <si>
    <t>Transferred out</t>
  </si>
  <si>
    <t>c. School-Related Factors</t>
  </si>
  <si>
    <t>c.1. Teacher Factor</t>
  </si>
  <si>
    <t>Transferred in</t>
  </si>
  <si>
    <t>c.2. Physical condition of classroom</t>
  </si>
  <si>
    <t>c.3. Peer influence</t>
  </si>
  <si>
    <t>d. Geographic/Environmental</t>
  </si>
  <si>
    <t>I certify that this is a true and correct report.</t>
  </si>
  <si>
    <t>d.1. Distance between home and school</t>
  </si>
  <si>
    <t>d.2. Armed conflict (incl. Tribal wars &amp; clanfeuds)</t>
  </si>
  <si>
    <t>(Signature of Adviser over Printed Name)</t>
  </si>
  <si>
    <t>d.3. Calamities/Disasters</t>
  </si>
  <si>
    <t>e. Financial-Related</t>
  </si>
  <si>
    <t>Attested by:</t>
  </si>
  <si>
    <t>e.1. Child labor, work</t>
  </si>
  <si>
    <t>f. Others</t>
  </si>
  <si>
    <t>(Signature of School Head over Printed Name)</t>
  </si>
  <si>
    <t>JULY</t>
  </si>
  <si>
    <t>AUGUST</t>
  </si>
  <si>
    <t>SEPTEMBER</t>
  </si>
  <si>
    <t>OCTOBER</t>
  </si>
  <si>
    <t>NOVEMBER</t>
  </si>
  <si>
    <t>DECEMBER</t>
  </si>
  <si>
    <t>JANUARY</t>
  </si>
  <si>
    <t>FEBUARY</t>
  </si>
  <si>
    <t>MARCH</t>
  </si>
  <si>
    <t>Date</t>
  </si>
  <si>
    <t>Student/LRN</t>
  </si>
  <si>
    <t>LRN</t>
  </si>
  <si>
    <t>Time</t>
  </si>
  <si>
    <t>Source</t>
  </si>
  <si>
    <t>2025-10-23</t>
  </si>
  <si>
    <t>2025-10-23T01:51:09.669188+08:00</t>
  </si>
  <si>
    <t>server</t>
  </si>
  <si>
    <t>2025-10-25</t>
  </si>
  <si>
    <t>2025-10-25T15:26:14.743730+08:00</t>
  </si>
  <si>
    <t>2025-10-25T22:29:30.631878+08:00</t>
  </si>
  <si>
    <t>2025-10-27</t>
  </si>
  <si>
    <t>2025-10-27T12:21:07.528527+08:00</t>
  </si>
  <si>
    <t>2025-10-27T12:52:46.068922+08:00</t>
  </si>
  <si>
    <t>2025-10-27T13:54:55.584921+08:00</t>
  </si>
  <si>
    <t>2025-10-27T14:36:51.380528+08:00</t>
  </si>
  <si>
    <t>2025-10-27T15:48:55.260315+08:00</t>
  </si>
  <si>
    <t>2025-10-28</t>
  </si>
  <si>
    <t>2025-10-28T00:35:19.453162+08:00</t>
  </si>
  <si>
    <t>2025-10-28T14:39:44.923669+08:00</t>
  </si>
  <si>
    <t>2025-10-28T14:39:49.492999+08:00</t>
  </si>
  <si>
    <t>2025-10-28T14:39:53.532344+08:00</t>
  </si>
  <si>
    <t>2025-10-28T14:39:56.980967+08:00</t>
  </si>
  <si>
    <t>2025-10-28T14:40:44.476629+08:00</t>
  </si>
  <si>
    <t>2025-10-29</t>
  </si>
  <si>
    <t>2025-10-29T13:52:03.305041+08:00</t>
  </si>
  <si>
    <t>2025-10-29T13:52:08.604949+08:00</t>
  </si>
  <si>
    <t>2025-10-29T13:52:15.098449+08:00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</si>
</sst>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
  </numFmts>
  <fonts count="19" x14ac:knownFonts="1">
    <font>
      <color theme="1"/>
      <family val="2"/>
      <scheme val="minor"/>
      <sz val="11"/>
      <name val="Calibri"/>
    </font>
    <font>
      <charset val="134"/>
      <color theme="1"/>
      <sz val="11"/>
      <name val="Arial Narrow"/>
    </font>
    <font>
      <i/>
      <charset val="134"/>
      <color theme="1"/>
      <sz val="11"/>
      <name val="Arial Narrow"/>
    </font>
    <font>
      <b/>
      <charset val="134"/>
      <color theme="1"/>
      <sz val="11"/>
      <name val="Arial Narrow"/>
    </font>
    <font>
      <b/>
      <charset val="134"/>
      <color theme="1"/>
      <sz val="14"/>
      <name val="Arial Narrow"/>
    </font>
    <font>
      <b/>
      <charset val="134"/>
      <color theme="1"/>
      <sz val="22"/>
      <name val="Arial Narrow"/>
    </font>
    <font>
      <i/>
      <charset val="134"/>
      <color theme="1"/>
      <sz val="12"/>
      <name val="Arial Narrow"/>
    </font>
    <font>
      <b/>
      <charset val="134"/>
      <color theme="1"/>
      <sz val="18"/>
      <name val="Arial Narrow"/>
    </font>
    <font>
      <charset val="134"/>
      <color theme="1"/>
      <sz val="16"/>
      <name val="Arial Narrow"/>
    </font>
    <font>
      <b/>
      <charset val="134"/>
      <color theme="1"/>
      <sz val="16"/>
      <name val="Arial Narrow"/>
    </font>
    <font>
      <b/>
      <charset val="134"/>
      <color theme="1"/>
      <sz val="12"/>
      <name val="Arial Narrow"/>
    </font>
    <font>
      <charset val="134"/>
      <color theme="1"/>
      <sz val="12"/>
      <name val="Arial Narrow"/>
    </font>
    <font>
      <color rgb="FF000000"/>
    </font>
    <font>
      <color rgb="FF000000"/>
      <sz val="10"/>
    </font>
    <font>
      <color rgb="FFFF7F7F"/>
    </font>
    <font>
      <charset val="134"/>
      <color rgb="FF000000"/>
      <sz val="11"/>
      <name val="Arial Narrow"/>
    </font>
    <font>
      <b/>
      <i/>
      <charset val="134"/>
      <color theme="1"/>
      <sz val="11"/>
      <name val="Arial Narrow"/>
    </font>
    <font>
      <b/>
      <charset val="134"/>
      <color theme="1"/>
      <sz val="9"/>
      <name val="Arial Narrow"/>
    </font>
    <font>
      <charset val="134"/>
      <sz val="14"/>
      <name val="Arial Narrow"/>
    </font>
  </fonts>
  <fills count="4">
    <fill>
      <patternFill patternType="none"/>
    </fill>
    <fill>
      <patternFill patternType="gray125"/>
    </fill>
    <fill>
      <patternFill patternType="solid">
        <fgColor theme="0" tint="-0.0499893185216834"/>
        <bgColor indexed="64"/>
      </patternFill>
    </fill>
    <fill>
      <patternFill patternType="solid">
        <fgColor rgb="FFFF7F7F"/>
        <bgColor rgb="FFFF7F7F"/>
      </patternFill>
    </fill>
  </fills>
  <borders count="69">
    <border>
      <left/>
      <right/>
      <top/>
      <bottom/>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right style="thin"/>
      <top/>
      <bottom/>
      <diagonal/>
    </border>
    <border>
      <left style="thin"/>
      <right/>
      <top/>
      <bottom/>
      <diagonal/>
    </border>
    <border>
      <left style="medium"/>
      <right/>
      <top style="medium"/>
      <bottom/>
      <diagonal/>
    </border>
    <border>
      <left/>
      <right/>
      <top style="medium"/>
      <bottom/>
      <diagonal/>
    </border>
    <border>
      <left style="medium"/>
      <right/>
      <top style="medium"/>
      <bottom style="medium"/>
      <diagonal/>
    </border>
    <border>
      <left/>
      <right/>
      <top style="medium"/>
      <bottom style="medium"/>
      <diagonal/>
    </border>
    <border>
      <left/>
      <right style="medium"/>
      <top style="medium"/>
      <bottom style="medium"/>
      <diagonal/>
    </border>
    <border>
      <left/>
      <right style="medium"/>
      <top style="medium"/>
      <bottom/>
      <diagonal/>
    </border>
    <border>
      <left style="medium"/>
      <right/>
      <top/>
      <bottom/>
      <diagonal/>
    </border>
    <border>
      <left style="medium"/>
      <right style="thin"/>
      <top/>
      <bottom style="thin"/>
      <diagonal/>
    </border>
    <border>
      <left style="thin"/>
      <right style="thin"/>
      <top/>
      <bottom style="thin"/>
      <diagonal/>
    </border>
    <border>
      <left style="thin"/>
      <right style="medium"/>
      <top/>
      <bottom style="thin"/>
      <diagonal/>
    </border>
    <border>
      <left/>
      <right style="thin"/>
      <top/>
      <bottom style="thin"/>
      <diagonal/>
    </border>
    <border>
      <left style="thin"/>
      <right/>
      <top/>
      <bottom style="thin"/>
      <diagonal/>
    </border>
    <border>
      <left/>
      <right/>
      <top/>
      <bottom style="medium"/>
      <diagonal/>
    </border>
    <border>
      <left/>
      <right style="medium"/>
      <top/>
      <bottom/>
      <diagonal/>
    </border>
    <border>
      <left style="medium"/>
      <right style="thin"/>
      <top/>
      <bottom/>
      <diagonal/>
    </border>
    <border>
      <left style="thin"/>
      <right style="thin"/>
      <top/>
      <bottom/>
      <diagonal/>
    </border>
    <border>
      <left style="thin"/>
      <right style="medium"/>
      <top/>
      <bottom/>
      <diagonal/>
    </border>
    <border>
      <left style="medium"/>
      <right style="medium"/>
      <top style="medium"/>
      <bottom/>
      <diagonal/>
    </border>
    <border>
      <left style="medium"/>
      <right/>
      <top/>
      <bottom style="medium"/>
      <diagonal/>
    </border>
    <border>
      <left style="medium"/>
      <right style="thin"/>
      <top/>
      <bottom style="medium"/>
      <diagonal/>
    </border>
    <border>
      <left style="thin"/>
      <right style="thin"/>
      <top/>
      <bottom style="medium"/>
      <diagonal/>
    </border>
    <border>
      <left style="thin"/>
      <right style="medium"/>
      <top/>
      <bottom style="medium"/>
      <diagonal/>
    </border>
    <border>
      <left/>
      <right style="thin"/>
      <top/>
      <bottom style="medium"/>
      <diagonal/>
    </border>
    <border>
      <left style="thin"/>
      <right/>
      <top/>
      <bottom style="medium"/>
      <diagonal/>
    </border>
    <border>
      <left/>
      <right style="medium"/>
      <top/>
      <bottom style="medium"/>
      <diagonal/>
    </border>
    <border>
      <left style="medium"/>
      <right style="medium"/>
      <top/>
      <bottom style="medium"/>
      <diagonal/>
    </border>
    <border diagonalUp="1">
      <left style="thin"/>
      <right style="thin"/>
      <top style="thin"/>
      <bottom style="thin"/>
      <diagonal style="dashed">
        <color rgb="FF000000"/>
      </diagonal>
    </border>
    <border>
      <left style="thin"/>
      <right/>
      <top style="medium"/>
      <bottom style="thin"/>
      <diagonal/>
    </border>
    <border>
      <left/>
      <right/>
      <top style="medium"/>
      <bottom style="thin"/>
      <diagonal/>
    </border>
    <border>
      <left style="medium"/>
      <right style="medium"/>
      <top/>
      <bottom style="thin"/>
      <diagonal/>
    </border>
    <border>
      <left/>
      <right/>
      <top/>
      <bottom style="thin"/>
      <diagonal/>
    </border>
    <border>
      <left style="medium"/>
      <right/>
      <top style="medium"/>
      <bottom style="thin"/>
      <diagonal/>
    </border>
    <border>
      <left/>
      <right style="medium"/>
      <top style="medium"/>
      <bottom style="thin"/>
      <diagonal/>
    </border>
    <border>
      <left style="medium"/>
      <right style="medium"/>
      <top style="thin"/>
      <bottom style="thin"/>
      <diagonal/>
    </border>
    <border>
      <left style="medium"/>
      <right/>
      <top style="thin"/>
      <bottom style="thin"/>
      <diagonal/>
    </border>
    <border>
      <left/>
      <right style="medium"/>
      <top style="thin"/>
      <bottom style="thin"/>
      <diagonal/>
    </border>
    <border>
      <left/>
      <right/>
      <top style="thin"/>
      <bottom/>
      <diagonal/>
    </border>
    <border diagonalUp="1">
      <left style="medium"/>
      <right style="thin"/>
      <top style="thin"/>
      <bottom/>
      <diagonal style="dashed">
        <color rgb="FF000000"/>
      </diagonal>
    </border>
    <border diagonalUp="1">
      <left style="thin"/>
      <right style="thin"/>
      <top style="thin"/>
      <bottom/>
      <diagonal style="dashed">
        <color rgb="FF000000"/>
      </diagonal>
    </border>
    <border diagonalUp="1">
      <left style="thin"/>
      <right style="medium"/>
      <top style="thin"/>
      <bottom/>
      <diagonal style="dashed">
        <color rgb="FF000000"/>
      </diagonal>
    </border>
    <border diagonalUp="1">
      <left/>
      <right style="thin"/>
      <top style="thin"/>
      <bottom/>
      <diagonal style="dashed">
        <color rgb="FF000000"/>
      </diagonal>
    </border>
    <border diagonalUp="1">
      <left style="thin"/>
      <right/>
      <top style="thin"/>
      <bottom/>
      <diagonal style="dashed">
        <color rgb="FF000000"/>
      </diagonal>
    </border>
    <border>
      <left style="thin"/>
      <right/>
      <top style="thin"/>
      <bottom style="medium"/>
      <diagonal/>
    </border>
    <border>
      <left/>
      <right/>
      <top style="thin"/>
      <bottom style="medium"/>
      <diagonal/>
    </border>
    <border>
      <left/>
      <right style="medium"/>
      <top style="thin"/>
      <bottom style="medium"/>
      <diagonal/>
    </border>
    <border>
      <left style="medium"/>
      <right style="thin"/>
      <top style="medium"/>
      <bottom style="medium"/>
      <diagonal/>
    </border>
    <border>
      <left style="thin"/>
      <right style="thin"/>
      <top style="medium"/>
      <bottom style="medium"/>
      <diagonal/>
    </border>
    <border>
      <left style="thin"/>
      <right style="medium"/>
      <top style="medium"/>
      <bottom style="medium"/>
      <diagonal/>
    </border>
    <border>
      <left style="medium"/>
      <right style="medium"/>
      <top style="medium"/>
      <bottom style="medium"/>
      <diagonal/>
    </border>
    <border>
      <left style="medium"/>
      <right style="medium"/>
      <top style="thin"/>
      <bottom/>
      <diagonal/>
    </border>
    <border>
      <left style="medium"/>
      <right/>
      <top style="thin"/>
      <bottom style="medium"/>
      <diagonal/>
    </border>
    <border>
      <left/>
      <right style="thin"/>
      <top style="medium"/>
      <bottom style="medium"/>
      <diagonal/>
    </border>
    <border>
      <left/>
      <right style="thin"/>
      <top style="thin"/>
      <bottom style="medium"/>
      <diagonal/>
    </border>
    <border>
      <left style="thin"/>
      <right style="thin"/>
      <top style="thin"/>
      <bottom style="medium"/>
      <diagonal/>
    </border>
    <border>
      <left style="thin"/>
      <right style="medium"/>
      <top style="thin"/>
      <bottom style="medium"/>
      <diagonal/>
    </border>
    <border>
      <left/>
      <right style="thin"/>
      <top style="medium"/>
      <bottom/>
      <diagonal/>
    </border>
    <border>
      <left style="medium"/>
      <right/>
      <top/>
      <bottom style="thin"/>
      <diagonal/>
    </border>
    <border>
      <left style="thin"/>
      <right style="medium"/>
      <top style="thin"/>
      <bottom style="thin"/>
      <diagonal/>
    </border>
    <border>
      <left style="medium"/>
      <right style="thin"/>
      <top style="thin"/>
      <bottom style="thin"/>
      <diagonal/>
    </border>
    <border>
      <left style="thin"/>
      <right style="thin"/>
      <top style="thin"/>
      <bottom/>
      <diagonal/>
    </border>
    <border>
      <left style="thin"/>
      <right style="medium"/>
      <top style="thin"/>
      <bottom/>
      <diagonal/>
    </border>
    <border>
      <left style="medium"/>
      <right style="thin"/>
      <top style="thin"/>
      <bottom style="medium"/>
      <diagonal/>
    </border>
  </borders>
  <cellStyleXfs count="1">
    <xf numFmtId="0" fontId="0" fillId="0" borderId="0"/>
  </cellStyleXfs>
  <cellXfs count="217">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center"/>
    </xf>
    <xf numFmtId="0" fontId="4" fillId="0" borderId="0" xfId="0" applyFont="1"/>
    <xf numFmtId="0" fontId="3" fillId="0" borderId="0" xfId="0" applyFont="1"/>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vertical="center"/>
    </xf>
    <xf numFmtId="0" fontId="8" fillId="0" borderId="0" xfId="0" applyFont="1" applyAlignment="1">
      <alignment horizontal="right" vertical="center"/>
    </xf>
    <xf numFmtId="0" fontId="8" fillId="0" borderId="1" xfId="0" applyFont="1" applyBorder="1" applyAlignment="1" applyProtection="1">
      <alignment horizontal="center" vertical="center"/>
      <protection locked="0"/>
    </xf>
    <xf numFmtId="0" fontId="8" fillId="0" borderId="0" xfId="0" applyFont="1" applyAlignment="1">
      <alignment horizontal="center" vertical="center"/>
    </xf>
    <xf numFmtId="0" fontId="8" fillId="0" borderId="2" xfId="0" applyFont="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0" fontId="8" fillId="0" borderId="4" xfId="0" applyFont="1" applyBorder="1" applyAlignment="1" applyProtection="1">
      <alignment horizontal="center" vertical="center"/>
      <protection locked="0"/>
    </xf>
    <xf numFmtId="0" fontId="8" fillId="0" borderId="5" xfId="0" applyFont="1" applyBorder="1" applyAlignment="1">
      <alignment horizontal="right" vertical="center"/>
    </xf>
    <xf numFmtId="17" fontId="8" fillId="0" borderId="2" xfId="0" applyNumberFormat="1" applyFont="1" applyBorder="1" applyAlignment="1" applyProtection="1">
      <alignment horizontal="center" vertical="center"/>
      <protection locked="0"/>
    </xf>
    <xf numFmtId="0" fontId="3" fillId="0" borderId="0" xfId="0" applyFont="1" applyAlignment="1">
      <alignment horizontal="center" vertical="center"/>
    </xf>
    <xf numFmtId="0" fontId="9" fillId="0" borderId="0" xfId="0" applyFont="1" applyAlignment="1">
      <alignment vertical="center"/>
    </xf>
    <xf numFmtId="0" fontId="8" fillId="0" borderId="0" xfId="0" applyFont="1" applyAlignment="1">
      <alignment vertical="center"/>
    </xf>
    <xf numFmtId="0" fontId="8" fillId="0" borderId="6" xfId="0" applyFont="1" applyBorder="1" applyAlignment="1">
      <alignment horizontal="right" vertical="center"/>
    </xf>
    <xf numFmtId="0" fontId="9" fillId="0" borderId="7" xfId="0" applyFont="1" applyBorder="1" applyAlignment="1">
      <alignment horizontal="center" vertical="center" wrapText="1"/>
    </xf>
    <xf numFmtId="0" fontId="9" fillId="0" borderId="8" xfId="0" applyFont="1" applyBorder="1" applyAlignment="1">
      <alignment horizontal="center" vertical="center" wrapText="1"/>
    </xf>
    <xf numFmtId="0" fontId="10" fillId="0" borderId="9" xfId="0" applyFont="1" applyBorder="1" applyAlignment="1">
      <alignment horizontal="center" vertical="center"/>
    </xf>
    <xf numFmtId="0" fontId="10" fillId="0" borderId="10" xfId="0" applyFont="1" applyBorder="1" applyAlignment="1">
      <alignment horizontal="center" vertical="center"/>
    </xf>
    <xf numFmtId="0" fontId="10" fillId="0" borderId="11" xfId="0" applyFont="1" applyBorder="1" applyAlignment="1">
      <alignment horizontal="center" vertical="center"/>
    </xf>
    <xf numFmtId="0" fontId="10" fillId="0" borderId="8" xfId="0" applyFont="1" applyBorder="1" applyAlignment="1">
      <alignment horizontal="center" vertical="center" wrapText="1"/>
    </xf>
    <xf numFmtId="0" fontId="10"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12" xfId="0" applyFont="1" applyBorder="1" applyAlignment="1">
      <alignment horizontal="center" vertical="center" wrapText="1"/>
    </xf>
    <xf numFmtId="0" fontId="3" fillId="0" borderId="1" xfId="0" applyFont="1" applyBorder="1" applyAlignment="1">
      <alignment horizontal="center" vertical="center" wrapText="1"/>
    </xf>
    <xf numFmtId="0" fontId="1" fillId="0" borderId="1" xfId="0" applyFont="1" applyBorder="1" applyAlignment="1" applyProtection="1">
      <alignment horizontal="center" vertical="center"/>
      <protection locked="0"/>
    </xf>
    <xf numFmtId="0" fontId="9" fillId="0" borderId="13" xfId="0" applyFont="1" applyBorder="1" applyAlignment="1">
      <alignment horizontal="center" vertical="center" wrapText="1"/>
    </xf>
    <xf numFmtId="0" fontId="9" fillId="0" borderId="0" xfId="0" applyFont="1" applyAlignment="1">
      <alignment horizontal="center" vertical="center" wrapText="1"/>
    </xf>
    <xf numFmtId="0" fontId="10" fillId="0" borderId="14" xfId="0" applyFont="1" applyBorder="1" applyAlignment="1" applyProtection="1">
      <alignment horizontal="center" vertical="center"/>
      <protection locked="0"/>
    </xf>
    <xf numFmtId="0" fontId="10" fillId="0" borderId="15" xfId="0" applyFont="1" applyBorder="1" applyAlignment="1" applyProtection="1">
      <alignment horizontal="center" vertical="center"/>
      <protection locked="0"/>
    </xf>
    <xf numFmtId="0" fontId="10" fillId="0" borderId="16" xfId="0" applyFont="1" applyBorder="1" applyAlignment="1" applyProtection="1">
      <alignment horizontal="center" vertical="center"/>
      <protection locked="0"/>
    </xf>
    <xf numFmtId="0" fontId="10" fillId="0" borderId="17" xfId="0" applyFont="1" applyBorder="1" applyAlignment="1" applyProtection="1">
      <alignment horizontal="center" vertical="center"/>
      <protection locked="0"/>
    </xf>
    <xf numFmtId="0" fontId="10" fillId="0" borderId="18" xfId="0" applyFont="1" applyBorder="1" applyAlignment="1" applyProtection="1">
      <alignment horizontal="center" vertical="center"/>
      <protection locked="0"/>
    </xf>
    <xf numFmtId="0" fontId="10" fillId="0" borderId="19" xfId="0" applyFont="1" applyBorder="1" applyAlignment="1">
      <alignment horizontal="center" vertical="center" wrapText="1"/>
    </xf>
    <xf numFmtId="0" fontId="11" fillId="0" borderId="13" xfId="0" applyFont="1" applyBorder="1" applyAlignment="1">
      <alignment horizontal="center" vertical="center" wrapText="1"/>
    </xf>
    <xf numFmtId="0" fontId="11" fillId="0" borderId="0" xfId="0" applyFont="1" applyAlignment="1">
      <alignment horizontal="center" vertical="center" wrapText="1"/>
    </xf>
    <xf numFmtId="0" fontId="11" fillId="0" borderId="20" xfId="0" applyFont="1" applyBorder="1" applyAlignment="1">
      <alignment horizontal="center" vertical="center" wrapText="1"/>
    </xf>
    <xf numFmtId="0" fontId="3" fillId="0" borderId="21" xfId="0" applyFont="1" applyBorder="1" applyAlignment="1">
      <alignment horizontal="center" vertical="center"/>
    </xf>
    <xf numFmtId="0" fontId="3" fillId="0" borderId="22"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applyAlignment="1">
      <alignment horizontal="center" vertical="center"/>
    </xf>
    <xf numFmtId="164" fontId="10" fillId="0" borderId="12" xfId="0" applyNumberFormat="1" applyFont="1" applyBorder="1" applyAlignment="1">
      <alignment horizontal="center" vertical="center"/>
    </xf>
    <xf numFmtId="164" fontId="10" fillId="0" borderId="24" xfId="0" applyNumberFormat="1" applyFont="1" applyBorder="1" applyAlignment="1">
      <alignment horizontal="center" vertical="center"/>
    </xf>
    <xf numFmtId="0" fontId="9" fillId="0" borderId="25" xfId="0" applyFont="1" applyBorder="1" applyAlignment="1">
      <alignment vertical="center" wrapText="1"/>
    </xf>
    <xf numFmtId="0" fontId="9" fillId="0" borderId="19" xfId="0" applyFont="1" applyBorder="1" applyAlignment="1">
      <alignment horizontal="center" vertical="center" wrapText="1"/>
    </xf>
    <xf numFmtId="0" fontId="3" fillId="0" borderId="26" xfId="0" applyFont="1" applyBorder="1" applyAlignment="1">
      <alignment vertical="center" textRotation="90"/>
    </xf>
    <xf numFmtId="0" fontId="3" fillId="0" borderId="27" xfId="0" applyFont="1" applyBorder="1" applyAlignment="1">
      <alignment vertical="center" textRotation="90"/>
    </xf>
    <xf numFmtId="0" fontId="3" fillId="0" borderId="28" xfId="0" applyFont="1" applyBorder="1" applyAlignment="1">
      <alignment vertical="center" textRotation="90"/>
    </xf>
    <xf numFmtId="0" fontId="3" fillId="0" borderId="29" xfId="0" applyFont="1" applyBorder="1" applyAlignment="1">
      <alignment vertical="center" textRotation="90"/>
    </xf>
    <xf numFmtId="0" fontId="3" fillId="0" borderId="30" xfId="0" applyFont="1" applyBorder="1" applyAlignment="1">
      <alignment vertical="center" textRotation="90"/>
    </xf>
    <xf numFmtId="164" fontId="10" fillId="0" borderId="31" xfId="0" applyNumberFormat="1" applyFont="1" applyBorder="1" applyAlignment="1">
      <alignment horizontal="center" vertical="center"/>
    </xf>
    <xf numFmtId="164" fontId="10" fillId="0" borderId="32" xfId="0" applyNumberFormat="1" applyFont="1" applyBorder="1" applyAlignment="1">
      <alignment horizontal="center" vertical="center"/>
    </xf>
    <xf numFmtId="0" fontId="11" fillId="0" borderId="25" xfId="0" applyFont="1" applyBorder="1" applyAlignment="1">
      <alignment horizontal="center" vertical="center" wrapText="1"/>
    </xf>
    <xf numFmtId="0" fontId="11" fillId="0" borderId="19" xfId="0" applyFont="1" applyBorder="1" applyAlignment="1">
      <alignment horizontal="center" vertical="center" wrapText="1"/>
    </xf>
    <xf numFmtId="0" fontId="11" fillId="0" borderId="31" xfId="0" applyFont="1" applyBorder="1" applyAlignment="1">
      <alignment horizontal="center" vertical="center" wrapText="1"/>
    </xf>
    <xf numFmtId="0" fontId="12" fillId="0" borderId="33" xfId="0" applyFont="1" applyBorder="1" applyAlignment="1" applyProtection="1">
      <alignment horizontal="center" vertical="center"/>
      <protection locked="0"/>
    </xf>
    <xf numFmtId="0" fontId="13" fillId="0" borderId="34" xfId="0" applyFont="1" applyBorder="1" applyAlignment="1" applyProtection="1">
      <alignment horizontal="left" vertical="center"/>
      <protection locked="0"/>
    </xf>
    <xf numFmtId="0" fontId="1" fillId="0" borderId="35" xfId="0" applyFont="1" applyBorder="1" applyAlignment="1" applyProtection="1">
      <alignment horizontal="center" vertical="center"/>
      <protection locked="0"/>
    </xf>
    <xf numFmtId="0" fontId="3" fillId="2" borderId="36" xfId="0" applyFont="1" applyFill="1" applyBorder="1" applyAlignment="1">
      <alignment horizontal="center" vertical="center"/>
    </xf>
    <xf numFmtId="0" fontId="3" fillId="2" borderId="37" xfId="0" applyFont="1" applyFill="1" applyBorder="1" applyAlignment="1">
      <alignment horizontal="center" vertical="center"/>
    </xf>
    <xf numFmtId="0" fontId="1" fillId="0" borderId="38" xfId="0" applyFont="1" applyBorder="1" applyAlignment="1" applyProtection="1">
      <alignment horizontal="center" vertical="center"/>
      <protection locked="0"/>
    </xf>
    <xf numFmtId="0" fontId="1" fillId="0" borderId="39" xfId="0" applyFont="1" applyBorder="1" applyAlignment="1" applyProtection="1">
      <alignment horizontal="center" vertical="center"/>
      <protection locked="0"/>
    </xf>
    <xf numFmtId="0" fontId="14" fillId="3" borderId="1" xfId="0" applyFont="1" applyFill="1" applyBorder="1" applyAlignment="1">
      <alignment horizontal="center" vertical="center"/>
    </xf>
    <xf numFmtId="0" fontId="13" fillId="0" borderId="2" xfId="0" applyFont="1" applyBorder="1" applyAlignment="1" applyProtection="1">
      <alignment horizontal="left" vertical="center"/>
      <protection locked="0"/>
    </xf>
    <xf numFmtId="0" fontId="15" fillId="0" borderId="3" xfId="0" applyFont="1" applyBorder="1" applyAlignment="1" applyProtection="1">
      <alignment horizontal="center" vertical="center" wrapText="1"/>
      <protection locked="0"/>
    </xf>
    <xf numFmtId="0" fontId="3" fillId="2" borderId="40" xfId="0" applyFont="1" applyFill="1" applyBorder="1" applyAlignment="1">
      <alignment horizontal="center" vertical="center"/>
    </xf>
    <xf numFmtId="0" fontId="3" fillId="2" borderId="3" xfId="0" applyFont="1" applyFill="1" applyBorder="1" applyAlignment="1">
      <alignment horizontal="center" vertical="center"/>
    </xf>
    <xf numFmtId="0" fontId="1" fillId="0" borderId="41" xfId="0" applyFont="1" applyBorder="1" applyAlignment="1" applyProtection="1">
      <alignment horizontal="center" vertical="center"/>
      <protection locked="0"/>
    </xf>
    <xf numFmtId="0" fontId="1" fillId="0" borderId="3" xfId="0" applyFont="1" applyBorder="1" applyAlignment="1" applyProtection="1">
      <alignment horizontal="center" vertical="center"/>
      <protection locked="0"/>
    </xf>
    <xf numFmtId="0" fontId="1" fillId="0" borderId="42" xfId="0" applyFont="1" applyBorder="1" applyAlignment="1" applyProtection="1">
      <alignment horizontal="center" vertical="center"/>
      <protection locked="0"/>
    </xf>
    <xf numFmtId="0" fontId="12" fillId="0" borderId="0" xfId="0" applyFont="1" applyAlignment="1">
      <alignment vertical="center"/>
    </xf>
    <xf numFmtId="0" fontId="1" fillId="0" borderId="2" xfId="0" applyFont="1" applyBorder="1" applyAlignment="1" applyProtection="1">
      <alignment horizontal="left" vertical="center"/>
      <protection locked="0"/>
    </xf>
    <xf numFmtId="0" fontId="1" fillId="0" borderId="43" xfId="0" applyFont="1" applyBorder="1" applyAlignment="1" applyProtection="1">
      <alignment horizontal="center" vertical="center"/>
      <protection locked="0"/>
    </xf>
    <xf numFmtId="0" fontId="12" fillId="0" borderId="44" xfId="0" applyFont="1" applyBorder="1" applyAlignment="1" applyProtection="1">
      <alignment horizontal="center" vertical="center"/>
      <protection locked="0"/>
    </xf>
    <xf numFmtId="0" fontId="12" fillId="0" borderId="45" xfId="0" applyFont="1" applyBorder="1" applyAlignment="1" applyProtection="1">
      <alignment horizontal="center" vertical="center"/>
      <protection locked="0"/>
    </xf>
    <xf numFmtId="0" fontId="12" fillId="0" borderId="46" xfId="0" applyFont="1" applyBorder="1" applyAlignment="1" applyProtection="1">
      <alignment horizontal="center" vertical="center"/>
      <protection locked="0"/>
    </xf>
    <xf numFmtId="0" fontId="12" fillId="0" borderId="47" xfId="0" applyFont="1" applyBorder="1" applyAlignment="1" applyProtection="1">
      <alignment horizontal="center" vertical="center"/>
      <protection locked="0"/>
    </xf>
    <xf numFmtId="0" fontId="12" fillId="0" borderId="48" xfId="0" applyFont="1" applyBorder="1" applyAlignment="1" applyProtection="1">
      <alignment horizontal="center" vertical="center"/>
      <protection locked="0"/>
    </xf>
    <xf numFmtId="0" fontId="1" fillId="0" borderId="49" xfId="0" applyFont="1" applyBorder="1" applyAlignment="1" applyProtection="1">
      <alignment horizontal="left" vertical="center"/>
      <protection locked="0"/>
    </xf>
    <xf numFmtId="0" fontId="1" fillId="0" borderId="50" xfId="0" applyFont="1" applyBorder="1" applyAlignment="1" applyProtection="1">
      <alignment horizontal="center" vertical="center"/>
      <protection locked="0"/>
    </xf>
    <xf numFmtId="0" fontId="1" fillId="0" borderId="51" xfId="0" applyFont="1" applyBorder="1" applyAlignment="1" applyProtection="1">
      <alignment horizontal="center" vertical="center"/>
      <protection locked="0"/>
    </xf>
    <xf numFmtId="0" fontId="10" fillId="2" borderId="9" xfId="0" applyFont="1" applyFill="1" applyBorder="1" applyAlignment="1">
      <alignment vertical="center"/>
    </xf>
    <xf numFmtId="0" fontId="10" fillId="2" borderId="10" xfId="0" applyFont="1" applyFill="1" applyBorder="1" applyAlignment="1">
      <alignment horizontal="center" vertical="center"/>
    </xf>
    <xf numFmtId="0" fontId="3" fillId="0" borderId="52" xfId="0" applyFont="1" applyBorder="1" applyAlignment="1">
      <alignment horizontal="center" vertical="center"/>
    </xf>
    <xf numFmtId="0" fontId="3" fillId="0" borderId="53" xfId="0" applyFont="1" applyBorder="1" applyAlignment="1">
      <alignment horizontal="center" vertical="center"/>
    </xf>
    <xf numFmtId="0" fontId="3" fillId="0" borderId="54" xfId="0" applyFont="1" applyBorder="1" applyAlignment="1">
      <alignment horizontal="center" vertical="center"/>
    </xf>
    <xf numFmtId="0" fontId="3" fillId="2" borderId="55" xfId="0" applyFont="1" applyFill="1" applyBorder="1" applyAlignment="1">
      <alignment horizontal="center" vertical="center"/>
    </xf>
    <xf numFmtId="0" fontId="3" fillId="2" borderId="10" xfId="0" applyFont="1" applyFill="1" applyBorder="1" applyAlignment="1">
      <alignment horizontal="center" vertical="center"/>
    </xf>
    <xf numFmtId="0" fontId="1" fillId="2" borderId="9" xfId="0" applyFont="1" applyFill="1" applyBorder="1" applyAlignment="1">
      <alignment vertical="center" wrapText="1"/>
    </xf>
    <xf numFmtId="0" fontId="1" fillId="2" borderId="10" xfId="0" applyFont="1" applyFill="1" applyBorder="1" applyAlignment="1">
      <alignment vertical="center" wrapText="1"/>
    </xf>
    <xf numFmtId="0" fontId="1" fillId="2" borderId="11" xfId="0" applyFont="1" applyFill="1" applyBorder="1" applyAlignment="1">
      <alignment vertical="center" wrapText="1"/>
    </xf>
    <xf numFmtId="0" fontId="1" fillId="0" borderId="37" xfId="0" applyFont="1" applyBorder="1" applyAlignment="1" applyProtection="1">
      <alignment horizontal="center" vertical="center"/>
      <protection locked="0"/>
    </xf>
    <xf numFmtId="0" fontId="14" fillId="3" borderId="33" xfId="0" applyFont="1" applyFill="1" applyBorder="1" applyAlignment="1">
      <alignment horizontal="center" vertical="center"/>
    </xf>
    <xf numFmtId="0" fontId="3" fillId="2" borderId="56" xfId="0" applyFont="1" applyFill="1" applyBorder="1" applyAlignment="1">
      <alignment horizontal="center" vertical="center"/>
    </xf>
    <xf numFmtId="0" fontId="3" fillId="2" borderId="43" xfId="0" applyFont="1" applyFill="1" applyBorder="1" applyAlignment="1">
      <alignment horizontal="center" vertical="center"/>
    </xf>
    <xf numFmtId="0" fontId="1" fillId="0" borderId="57" xfId="0" applyFont="1" applyBorder="1" applyAlignment="1" applyProtection="1">
      <alignment horizontal="center" vertical="center"/>
      <protection locked="0"/>
    </xf>
    <xf numFmtId="0" fontId="10" fillId="2" borderId="9" xfId="0" applyFont="1" applyFill="1" applyBorder="1" applyAlignment="1">
      <alignment horizontal="center" vertical="center"/>
    </xf>
    <xf numFmtId="0" fontId="3" fillId="0" borderId="58" xfId="0" applyFont="1" applyBorder="1" applyAlignment="1">
      <alignment horizontal="center" vertical="center"/>
    </xf>
    <xf numFmtId="0" fontId="1" fillId="2" borderId="52" xfId="0" applyFont="1" applyFill="1" applyBorder="1" applyAlignment="1">
      <alignment horizontal="center" vertical="center" wrapText="1"/>
    </xf>
    <xf numFmtId="0" fontId="1" fillId="2" borderId="53" xfId="0" applyFont="1" applyFill="1" applyBorder="1" applyAlignment="1">
      <alignment horizontal="center" vertical="center" wrapText="1"/>
    </xf>
    <xf numFmtId="0" fontId="1" fillId="2" borderId="54" xfId="0" applyFont="1" applyFill="1" applyBorder="1" applyAlignment="1">
      <alignment horizontal="center" vertical="center" wrapText="1"/>
    </xf>
    <xf numFmtId="0" fontId="4" fillId="2" borderId="15" xfId="0" applyFont="1" applyFill="1" applyBorder="1" applyAlignment="1">
      <alignment horizontal="center" vertical="center"/>
    </xf>
    <xf numFmtId="0" fontId="4" fillId="2" borderId="5" xfId="0" applyFont="1" applyFill="1" applyBorder="1" applyAlignment="1">
      <alignment horizontal="center" vertical="center"/>
    </xf>
    <xf numFmtId="0" fontId="3" fillId="0" borderId="29" xfId="0" applyFont="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2" borderId="32" xfId="0" applyFont="1" applyFill="1" applyBorder="1" applyAlignment="1">
      <alignment horizontal="center" vertical="center"/>
    </xf>
    <xf numFmtId="0" fontId="3" fillId="2" borderId="19"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19" xfId="0" applyFont="1" applyFill="1" applyBorder="1" applyAlignment="1">
      <alignment horizontal="center" vertical="center"/>
    </xf>
    <xf numFmtId="0" fontId="1" fillId="2" borderId="31" xfId="0" applyFont="1" applyFill="1" applyBorder="1" applyAlignment="1">
      <alignment horizontal="center" vertical="center"/>
    </xf>
    <xf numFmtId="0" fontId="16" fillId="0" borderId="0" xfId="0" applyFont="1" applyAlignment="1">
      <alignment horizontal="left" vertical="center"/>
    </xf>
    <xf numFmtId="0" fontId="1" fillId="0" borderId="0" xfId="0" applyFont="1" applyAlignment="1">
      <alignment horizontal="center" vertical="center"/>
    </xf>
    <xf numFmtId="0" fontId="10" fillId="0" borderId="0" xfId="0" applyFont="1" applyAlignment="1">
      <alignment vertical="center"/>
    </xf>
    <xf numFmtId="0" fontId="6" fillId="0" borderId="0" xfId="0" applyFont="1" applyAlignment="1">
      <alignment vertical="center"/>
    </xf>
    <xf numFmtId="0" fontId="11" fillId="0" borderId="0" xfId="0" applyFont="1" applyAlignment="1">
      <alignment vertical="center"/>
    </xf>
    <xf numFmtId="0" fontId="3" fillId="0" borderId="0" xfId="0" applyFont="1" applyAlignment="1">
      <alignment vertical="center" wrapText="1"/>
    </xf>
    <xf numFmtId="0" fontId="3" fillId="0" borderId="9" xfId="0" applyFont="1" applyBorder="1" applyAlignment="1">
      <alignment vertical="center"/>
    </xf>
    <xf numFmtId="0" fontId="1" fillId="0" borderId="10" xfId="0" applyFont="1" applyBorder="1"/>
    <xf numFmtId="0" fontId="1" fillId="0" borderId="10" xfId="0" applyFont="1" applyBorder="1" applyAlignment="1">
      <alignment vertical="center"/>
    </xf>
    <xf numFmtId="0" fontId="3" fillId="0" borderId="10" xfId="0" applyFont="1" applyBorder="1" applyAlignment="1">
      <alignment vertical="center"/>
    </xf>
    <xf numFmtId="0" fontId="3" fillId="0" borderId="11" xfId="0" applyFont="1" applyBorder="1" applyAlignment="1">
      <alignment vertical="center" wrapText="1"/>
    </xf>
    <xf numFmtId="0" fontId="3" fillId="0" borderId="7" xfId="0" applyFont="1" applyBorder="1" applyAlignment="1">
      <alignment horizontal="center" vertical="center"/>
    </xf>
    <xf numFmtId="0" fontId="3" fillId="0" borderId="8" xfId="0" applyFont="1" applyBorder="1" applyAlignment="1">
      <alignment horizontal="center" vertical="center"/>
    </xf>
    <xf numFmtId="17" fontId="17" fillId="0" borderId="12" xfId="0" applyNumberFormat="1" applyFont="1" applyBorder="1" applyAlignment="1">
      <alignment horizontal="center" vertical="center" wrapText="1"/>
    </xf>
    <xf numFmtId="0" fontId="3" fillId="0" borderId="7" xfId="0" applyFont="1" applyBorder="1" applyAlignment="1">
      <alignment horizontal="right" vertical="center" wrapText="1"/>
    </xf>
    <xf numFmtId="0" fontId="3" fillId="0" borderId="8" xfId="0" applyFont="1" applyBorder="1" applyAlignment="1">
      <alignment horizontal="right" vertical="center" wrapText="1"/>
    </xf>
    <xf numFmtId="0" fontId="3" fillId="0" borderId="12" xfId="0" applyFont="1" applyBorder="1" applyAlignment="1">
      <alignment horizontal="center" vertical="center"/>
    </xf>
    <xf numFmtId="0" fontId="10" fillId="0" borderId="35" xfId="0" applyFont="1" applyBorder="1" applyAlignment="1">
      <alignment horizontal="center" vertical="center" wrapText="1"/>
    </xf>
    <xf numFmtId="0" fontId="10" fillId="0" borderId="39" xfId="0" applyFont="1" applyBorder="1" applyAlignment="1">
      <alignment horizontal="center" vertical="center" wrapText="1"/>
    </xf>
    <xf numFmtId="0" fontId="11" fillId="0" borderId="0" xfId="0" applyFont="1" applyAlignment="1">
      <alignment horizontal="left" vertical="center"/>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3" fillId="0" borderId="20" xfId="0" applyFont="1" applyBorder="1" applyAlignment="1">
      <alignment vertical="center" wrapText="1"/>
    </xf>
    <xf numFmtId="0" fontId="3" fillId="0" borderId="25" xfId="0" applyFont="1" applyBorder="1" applyAlignment="1">
      <alignment horizontal="center" vertical="center"/>
    </xf>
    <xf numFmtId="0" fontId="3" fillId="0" borderId="19" xfId="0" applyFont="1" applyBorder="1" applyAlignment="1">
      <alignment horizontal="center" vertical="center"/>
    </xf>
    <xf numFmtId="0" fontId="17" fillId="0" borderId="31" xfId="0" applyFont="1" applyBorder="1" applyAlignment="1">
      <alignment horizontal="center" vertical="center" wrapText="1"/>
    </xf>
    <xf numFmtId="0" fontId="3" fillId="0" borderId="25" xfId="0" applyFont="1" applyBorder="1" applyAlignment="1">
      <alignment horizontal="right" vertical="center" wrapText="1"/>
    </xf>
    <xf numFmtId="0" fontId="3" fillId="0" borderId="19" xfId="0" applyFont="1" applyBorder="1" applyAlignment="1">
      <alignment horizontal="right" vertical="center" wrapText="1"/>
    </xf>
    <xf numFmtId="0" fontId="3" fillId="0" borderId="31" xfId="0" applyFont="1" applyBorder="1" applyAlignment="1">
      <alignment horizontal="center" vertical="center"/>
    </xf>
    <xf numFmtId="0" fontId="3" fillId="0" borderId="59" xfId="0" applyFont="1" applyBorder="1" applyAlignment="1">
      <alignment horizontal="center" vertical="center"/>
    </xf>
    <xf numFmtId="0" fontId="3" fillId="0" borderId="60" xfId="0" applyFont="1" applyBorder="1" applyAlignment="1">
      <alignment horizontal="center" vertical="center"/>
    </xf>
    <xf numFmtId="0" fontId="3" fillId="0" borderId="61" xfId="0" applyFont="1" applyBorder="1" applyAlignment="1">
      <alignment horizontal="center" vertical="center"/>
    </xf>
    <xf numFmtId="0" fontId="1" fillId="0" borderId="0" xfId="0" applyFont="1" applyAlignment="1">
      <alignment horizontal="left" vertical="center" wrapText="1"/>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62" xfId="0" applyFont="1" applyBorder="1" applyAlignment="1">
      <alignment horizontal="left" vertical="center"/>
    </xf>
    <xf numFmtId="0" fontId="1" fillId="0" borderId="15" xfId="0" applyFont="1" applyBorder="1" applyAlignment="1" applyProtection="1">
      <alignment horizontal="center" vertical="center"/>
      <protection locked="0"/>
    </xf>
    <xf numFmtId="0" fontId="1" fillId="2" borderId="16" xfId="0" applyFont="1" applyFill="1" applyBorder="1" applyAlignment="1">
      <alignment horizontal="center" vertical="center"/>
    </xf>
    <xf numFmtId="0" fontId="6" fillId="0" borderId="63" xfId="0" applyFont="1" applyBorder="1" applyAlignment="1">
      <alignment horizontal="left" vertical="center"/>
    </xf>
    <xf numFmtId="0" fontId="6" fillId="0" borderId="37" xfId="0" applyFont="1" applyBorder="1" applyAlignment="1">
      <alignment horizontal="left" vertical="center"/>
    </xf>
    <xf numFmtId="0" fontId="6" fillId="0" borderId="17" xfId="0" applyFont="1" applyBorder="1" applyAlignment="1">
      <alignment horizontal="left" vertical="center"/>
    </xf>
    <xf numFmtId="0" fontId="1" fillId="2" borderId="64" xfId="0" applyFont="1" applyFill="1" applyBorder="1" applyAlignment="1">
      <alignment horizontal="center" vertical="center"/>
    </xf>
    <xf numFmtId="0" fontId="11" fillId="0" borderId="0" xfId="0" applyFont="1" applyAlignment="1">
      <alignment horizontal="right" vertical="center"/>
    </xf>
    <xf numFmtId="0" fontId="6" fillId="0" borderId="0" xfId="0" applyFont="1" applyAlignment="1">
      <alignment horizontal="right" vertical="center"/>
    </xf>
    <xf numFmtId="0" fontId="11" fillId="0" borderId="37" xfId="0" applyFont="1" applyBorder="1" applyAlignment="1">
      <alignment horizontal="center" vertical="center"/>
    </xf>
    <xf numFmtId="0" fontId="11" fillId="0" borderId="0" xfId="0" applyFont="1" applyAlignment="1">
      <alignment horizontal="center" vertical="center"/>
    </xf>
    <xf numFmtId="0" fontId="3" fillId="0" borderId="13" xfId="0" applyFont="1" applyBorder="1" applyAlignment="1">
      <alignment vertical="center"/>
    </xf>
    <xf numFmtId="0" fontId="1" fillId="0" borderId="0" xfId="0" applyFont="1" applyAlignment="1">
      <alignment horizontal="left" vertical="center"/>
    </xf>
    <xf numFmtId="0" fontId="6" fillId="0" borderId="65" xfId="0" applyFont="1" applyBorder="1" applyAlignment="1">
      <alignment horizontal="center" vertical="center" wrapText="1"/>
    </xf>
    <xf numFmtId="0" fontId="6" fillId="0" borderId="1" xfId="0" applyFont="1" applyBorder="1" applyAlignment="1">
      <alignment horizontal="center" vertical="center" wrapText="1"/>
    </xf>
    <xf numFmtId="0" fontId="1" fillId="0" borderId="1" xfId="0" applyFont="1" applyBorder="1" applyAlignment="1" applyProtection="1">
      <alignment horizontal="center" vertical="center" wrapText="1"/>
      <protection locked="0"/>
    </xf>
    <xf numFmtId="0" fontId="1" fillId="2" borderId="64" xfId="0" applyFont="1" applyFill="1" applyBorder="1" applyAlignment="1">
      <alignment horizontal="center" vertical="center" wrapText="1"/>
    </xf>
    <xf numFmtId="0" fontId="11" fillId="0" borderId="43" xfId="0" applyFont="1" applyBorder="1" applyAlignment="1">
      <alignment horizontal="center" vertical="center"/>
    </xf>
    <xf numFmtId="0" fontId="6" fillId="0" borderId="0" xfId="0" applyFont="1" applyAlignment="1">
      <alignment horizontal="right" vertical="center" wrapText="1"/>
    </xf>
    <xf numFmtId="0" fontId="11" fillId="0" borderId="37" xfId="0" applyFont="1" applyBorder="1" applyAlignment="1">
      <alignment horizontal="center" vertical="center" wrapText="1"/>
    </xf>
    <xf numFmtId="0" fontId="11" fillId="0" borderId="0" xfId="0" applyFont="1" applyAlignment="1">
      <alignment vertical="center" wrapText="1"/>
    </xf>
    <xf numFmtId="0" fontId="1" fillId="0" borderId="13" xfId="0" applyFont="1" applyBorder="1" applyAlignment="1">
      <alignment horizontal="left" vertical="center"/>
    </xf>
    <xf numFmtId="0" fontId="1" fillId="2" borderId="15" xfId="0" applyFont="1" applyFill="1" applyBorder="1" applyAlignment="1">
      <alignment horizontal="center" vertical="center"/>
    </xf>
    <xf numFmtId="0" fontId="1" fillId="2" borderId="1" xfId="0" applyFont="1" applyFill="1" applyBorder="1" applyAlignment="1">
      <alignment horizontal="center" vertical="center"/>
    </xf>
    <xf numFmtId="0" fontId="11" fillId="0" borderId="0" xfId="0" applyFont="1" applyAlignment="1">
      <alignment horizontal="right" vertical="center" wrapText="1"/>
    </xf>
    <xf numFmtId="0" fontId="6" fillId="0" borderId="65" xfId="0" applyFont="1" applyBorder="1" applyAlignment="1">
      <alignment horizontal="center" vertical="top" wrapText="1"/>
    </xf>
    <xf numFmtId="0" fontId="6" fillId="0" borderId="1" xfId="0" applyFont="1" applyBorder="1" applyAlignment="1">
      <alignment horizontal="center" vertical="top" wrapText="1"/>
    </xf>
    <xf numFmtId="9" fontId="2" fillId="2" borderId="66" xfId="0" applyNumberFormat="1" applyFont="1" applyFill="1" applyBorder="1" applyAlignment="1">
      <alignment horizontal="center" vertical="center" wrapText="1"/>
    </xf>
    <xf numFmtId="9" fontId="2" fillId="2" borderId="67" xfId="0" applyNumberFormat="1" applyFont="1" applyFill="1" applyBorder="1" applyAlignment="1">
      <alignment horizontal="center" vertical="center" wrapText="1"/>
    </xf>
    <xf numFmtId="9" fontId="2" fillId="2" borderId="15" xfId="0" applyNumberFormat="1" applyFont="1" applyFill="1" applyBorder="1" applyAlignment="1">
      <alignment horizontal="center" vertical="center" wrapText="1"/>
    </xf>
    <xf numFmtId="9" fontId="2" fillId="2" borderId="16" xfId="0" applyNumberFormat="1" applyFont="1" applyFill="1" applyBorder="1" applyAlignment="1">
      <alignment horizontal="center" vertical="center" wrapText="1"/>
    </xf>
    <xf numFmtId="0" fontId="6" fillId="0" borderId="65" xfId="0" applyFont="1" applyBorder="1" applyAlignment="1">
      <alignment horizontal="center" vertical="center"/>
    </xf>
    <xf numFmtId="0" fontId="6" fillId="0" borderId="1"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1" fillId="0" borderId="0" xfId="0" applyFont="1" applyAlignment="1">
      <alignment horizontal="left" vertical="top" wrapText="1"/>
    </xf>
    <xf numFmtId="9" fontId="1" fillId="2" borderId="1" xfId="0" applyNumberFormat="1" applyFont="1" applyFill="1" applyBorder="1" applyAlignment="1">
      <alignment horizontal="center" vertical="center"/>
    </xf>
    <xf numFmtId="9" fontId="1" fillId="2" borderId="64" xfId="0" applyNumberFormat="1" applyFont="1" applyFill="1" applyBorder="1" applyAlignment="1">
      <alignment horizontal="center" vertical="center"/>
    </xf>
    <xf numFmtId="0" fontId="11" fillId="0" borderId="0" xfId="0" applyFont="1" applyAlignment="1">
      <alignment horizontal="left" vertical="center" wrapText="1"/>
    </xf>
    <xf numFmtId="0" fontId="1" fillId="0" borderId="0" xfId="0" applyFont="1" applyAlignment="1">
      <alignment vertical="center" wrapText="1"/>
    </xf>
    <xf numFmtId="0" fontId="1" fillId="0" borderId="66" xfId="0" applyFont="1" applyBorder="1" applyAlignment="1" applyProtection="1">
      <alignment horizontal="center" vertical="center"/>
      <protection locked="0"/>
    </xf>
    <xf numFmtId="0" fontId="1" fillId="2" borderId="67" xfId="0" applyFont="1" applyFill="1" applyBorder="1" applyAlignment="1">
      <alignment horizontal="center" vertical="center"/>
    </xf>
    <xf numFmtId="0" fontId="11" fillId="0" borderId="0" xfId="0" applyFont="1" applyAlignment="1">
      <alignment vertical="top" wrapText="1"/>
    </xf>
    <xf numFmtId="0" fontId="3" fillId="0" borderId="65" xfId="0" applyFont="1" applyBorder="1" applyAlignment="1">
      <alignment horizontal="center" vertical="center"/>
    </xf>
    <xf numFmtId="0" fontId="3" fillId="0" borderId="1" xfId="0" applyFont="1" applyBorder="1" applyAlignment="1">
      <alignment horizontal="center" vertical="center"/>
    </xf>
    <xf numFmtId="0" fontId="1" fillId="2" borderId="1" xfId="0" applyFont="1" applyFill="1" applyBorder="1" applyAlignment="1">
      <alignment horizontal="center"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3" fillId="0" borderId="68" xfId="0" applyFont="1" applyBorder="1" applyAlignment="1">
      <alignment horizontal="center" vertical="center"/>
    </xf>
    <xf numFmtId="0" fontId="1" fillId="2" borderId="60" xfId="0" applyFont="1" applyFill="1" applyBorder="1" applyAlignment="1">
      <alignment horizontal="center" vertical="center"/>
    </xf>
    <xf numFmtId="0" fontId="1" fillId="2" borderId="61" xfId="0" applyFont="1" applyFill="1" applyBorder="1" applyAlignment="1">
      <alignment horizontal="center" vertical="center"/>
    </xf>
    <xf numFmtId="0" fontId="2" fillId="0" borderId="0" xfId="0" applyFont="1" applyAlignment="1">
      <alignment vertical="center"/>
    </xf>
    <xf numFmtId="0" fontId="16" fillId="0" borderId="0" xfId="0" applyFont="1" applyAlignment="1">
      <alignment horizontal="center" vertical="center"/>
    </xf>
    <xf numFmtId="0" fontId="1" fillId="0" borderId="0" xfId="0" applyFont="1" applyAlignment="1">
      <alignment horizontal="left" vertical="center" indent="3"/>
    </xf>
    <xf numFmtId="0" fontId="1" fillId="0" borderId="0" xfId="0" applyFont="1" applyAlignment="1" applyProtection="1">
      <alignment horizontal="center" vertical="center"/>
      <protection locked="0"/>
    </xf>
    <xf numFmtId="0" fontId="1" fillId="0" borderId="13" xfId="0" applyFont="1" applyBorder="1" applyAlignment="1">
      <alignment horizontal="left" vertical="center" wrapText="1"/>
    </xf>
    <xf numFmtId="0" fontId="1" fillId="0" borderId="20" xfId="0" applyFont="1" applyBorder="1" applyAlignment="1">
      <alignment horizontal="left" vertical="center" wrapText="1"/>
    </xf>
    <xf numFmtId="0" fontId="1" fillId="0" borderId="43" xfId="0" applyFont="1" applyBorder="1" applyAlignment="1">
      <alignment horizontal="center" vertical="center"/>
    </xf>
    <xf numFmtId="0" fontId="1" fillId="0" borderId="20" xfId="0" applyFont="1" applyBorder="1" applyAlignment="1">
      <alignment vertical="center"/>
    </xf>
    <xf numFmtId="0" fontId="18" fillId="0" borderId="0" xfId="0" applyFont="1" applyAlignment="1">
      <alignment horizontal="center"/>
    </xf>
    <xf numFmtId="0" fontId="3" fillId="0" borderId="25" xfId="0" applyFont="1" applyBorder="1" applyAlignment="1">
      <alignment vertical="center"/>
    </xf>
    <xf numFmtId="0" fontId="1" fillId="0" borderId="19" xfId="0" applyFont="1" applyBorder="1" applyAlignment="1">
      <alignment vertical="center"/>
    </xf>
    <xf numFmtId="0" fontId="1" fillId="0" borderId="31" xfId="0" applyFont="1" applyBorder="1" applyAlignment="1">
      <alignment vertical="center"/>
    </xf>
    <xf numFmtId="0" fontId="12" fillId="0" borderId="3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7.xml"/><Relationship Id="rId5" Type="http://schemas.openxmlformats.org/officeDocument/2006/relationships/worksheet" Target="worksheets/sheet16.xml"/><Relationship Id="rId6" Type="http://schemas.openxmlformats.org/officeDocument/2006/relationships/worksheet" Target="worksheets/sheet15.xml"/><Relationship Id="rId7" Type="http://schemas.openxmlformats.org/officeDocument/2006/relationships/worksheet" Target="worksheets/sheet7.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14.xml"/><Relationship Id="rId1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 Id="rId6" Type="http://schemas.openxmlformats.org/officeDocument/2006/relationships/image" Target="../media/image18.png"/><Relationship Id="rId7" Type="http://schemas.openxmlformats.org/officeDocument/2006/relationships/image" Target="../media/image19.png"/><Relationship Id="rId8" Type="http://schemas.openxmlformats.org/officeDocument/2006/relationships/image" Target="../media/image20.png"/><Relationship Id="rId9" Type="http://schemas.openxmlformats.org/officeDocument/2006/relationships/image" Target="../media/image21.png"/><Relationship Id="rId10" Type="http://schemas.openxmlformats.org/officeDocument/2006/relationships/image" Target="../media/image22.png"/><Relationship Id="rId11" Type="http://schemas.openxmlformats.org/officeDocument/2006/relationships/image" Target="../media/image23.png"/><Relationship Id="rId12" Type="http://schemas.openxmlformats.org/officeDocument/2006/relationships/image" Target="../media/image24.png"/><Relationship Id="rId13" Type="http://schemas.openxmlformats.org/officeDocument/2006/relationships/image" Target="../media/image25.png"/><Relationship Id="rId14" Type="http://schemas.openxmlformats.org/officeDocument/2006/relationships/image" Target="../media/image26.png"/><Relationship Id="rId15" Type="http://schemas.openxmlformats.org/officeDocument/2006/relationships/image" Target="../media/image27.png"/><Relationship Id="rId16" Type="http://schemas.openxmlformats.org/officeDocument/2006/relationships/image" Target="../media/image28.png"/><Relationship Id="rId17" Type="http://schemas.openxmlformats.org/officeDocument/2006/relationships/image" Target="../media/image29.png"/><Relationship Id="rId18" Type="http://schemas.openxmlformats.org/officeDocument/2006/relationships/image" Target="../media/image30.png"/><Relationship Id="rId19" Type="http://schemas.openxmlformats.org/officeDocument/2006/relationships/image" Target="../media/image31.png"/><Relationship Id="rId20" Type="http://schemas.openxmlformats.org/officeDocument/2006/relationships/image" Target="../media/image32.png"/><Relationship Id="rId21" Type="http://schemas.openxmlformats.org/officeDocument/2006/relationships/image" Target="../media/image33.png"/><Relationship Id="rId22" Type="http://schemas.openxmlformats.org/officeDocument/2006/relationships/image" Target="../media/image34.png"/><Relationship Id="rId23" Type="http://schemas.openxmlformats.org/officeDocument/2006/relationships/image" Target="../media/image35.png"/><Relationship Id="rId24" Type="http://schemas.openxmlformats.org/officeDocument/2006/relationships/image" Target="../media/image36.png"/><Relationship Id="rId25" Type="http://schemas.openxmlformats.org/officeDocument/2006/relationships/image" Target="../media/image37.png"/><Relationship Id="rId26" Type="http://schemas.openxmlformats.org/officeDocument/2006/relationships/image" Target="../media/image38.png"/><Relationship Id="rId27" Type="http://schemas.openxmlformats.org/officeDocument/2006/relationships/image" Target="../media/image39.png"/><Relationship Id="rId28" Type="http://schemas.openxmlformats.org/officeDocument/2006/relationships/image" Target="../media/image40.png"/><Relationship Id="rId29" Type="http://schemas.openxmlformats.org/officeDocument/2006/relationships/image" Target="../media/image41.png"/><Relationship Id="rId30" Type="http://schemas.openxmlformats.org/officeDocument/2006/relationships/image" Target="../media/image42.png"/><Relationship Id="rId31" Type="http://schemas.openxmlformats.org/officeDocument/2006/relationships/image" Target="../media/image43.png"/><Relationship Id="rId32" Type="http://schemas.openxmlformats.org/officeDocument/2006/relationships/image" Target="../media/image44.png"/><Relationship Id="rId33" Type="http://schemas.openxmlformats.org/officeDocument/2006/relationships/image" Target="../media/image45.png"/><Relationship Id="rId34" Type="http://schemas.openxmlformats.org/officeDocument/2006/relationships/image" Target="../media/image46.png"/><Relationship Id="rId35" Type="http://schemas.openxmlformats.org/officeDocument/2006/relationships/image" Target="../media/image47.png"/><Relationship Id="rId36" Type="http://schemas.openxmlformats.org/officeDocument/2006/relationships/image" Target="../media/image48.png"/><Relationship Id="rId37" Type="http://schemas.openxmlformats.org/officeDocument/2006/relationships/image" Target="../media/image49.png"/><Relationship Id="rId38" Type="http://schemas.openxmlformats.org/officeDocument/2006/relationships/image" Target="../media/image50.png"/><Relationship Id="rId39" Type="http://schemas.openxmlformats.org/officeDocument/2006/relationships/image" Target="../media/image51.png"/><Relationship Id="rId40" Type="http://schemas.openxmlformats.org/officeDocument/2006/relationships/image" Target="../media/image52.png"/><Relationship Id="rId41" Type="http://schemas.openxmlformats.org/officeDocument/2006/relationships/image" Target="../media/image53.png"/><Relationship Id="rId42" Type="http://schemas.openxmlformats.org/officeDocument/2006/relationships/image" Target="../media/image54.png"/><Relationship Id="rId43" Type="http://schemas.openxmlformats.org/officeDocument/2006/relationships/image" Target="../media/image55.png"/><Relationship Id="rId44" Type="http://schemas.openxmlformats.org/officeDocument/2006/relationships/image" Target="../media/image56.png"/><Relationship Id="rId45" Type="http://schemas.openxmlformats.org/officeDocument/2006/relationships/image" Target="../media/image57.png"/><Relationship Id="rId46" Type="http://schemas.openxmlformats.org/officeDocument/2006/relationships/image" Target="../media/image58.png"/><Relationship Id="rId47" Type="http://schemas.openxmlformats.org/officeDocument/2006/relationships/image" Target="../media/image59.png"/><Relationship Id="rId48" Type="http://schemas.openxmlformats.org/officeDocument/2006/relationships/image" Target="../media/image60.png"/><Relationship Id="rId49" Type="http://schemas.openxmlformats.org/officeDocument/2006/relationships/image" Target="../media/image61.png"/><Relationship Id="rId50" Type="http://schemas.openxmlformats.org/officeDocument/2006/relationships/image" Target="../media/image62.png"/><Relationship Id="rId51" Type="http://schemas.openxmlformats.org/officeDocument/2006/relationships/image" Target="../media/image63.png"/><Relationship Id="rId52" Type="http://schemas.openxmlformats.org/officeDocument/2006/relationships/image" Target="../media/image64.png"/><Relationship Id="rId53" Type="http://schemas.openxmlformats.org/officeDocument/2006/relationships/image" Target="../media/image65.png"/><Relationship Id="rId54" Type="http://schemas.openxmlformats.org/officeDocument/2006/relationships/image" Target="../media/image66.png"/><Relationship Id="rId55" Type="http://schemas.openxmlformats.org/officeDocument/2006/relationships/image" Target="../media/image67.png"/><Relationship Id="rId56" Type="http://schemas.openxmlformats.org/officeDocument/2006/relationships/image" Target="../media/image68.png"/><Relationship Id="rId57" Type="http://schemas.openxmlformats.org/officeDocument/2006/relationships/image" Target="../media/image69.png"/><Relationship Id="rId58" Type="http://schemas.openxmlformats.org/officeDocument/2006/relationships/image" Target="../media/image70.png"/><Relationship Id="rId59" Type="http://schemas.openxmlformats.org/officeDocument/2006/relationships/image" Target="../media/image71.png"/><Relationship Id="rId60" Type="http://schemas.openxmlformats.org/officeDocument/2006/relationships/image" Target="../media/image72.png"/><Relationship Id="rId61" Type="http://schemas.openxmlformats.org/officeDocument/2006/relationships/image" Target="../media/image73.png"/><Relationship Id="rId62" Type="http://schemas.openxmlformats.org/officeDocument/2006/relationships/image" Target="../media/image74.png"/><Relationship Id="rId63" Type="http://schemas.openxmlformats.org/officeDocument/2006/relationships/image" Target="../media/image75.png"/><Relationship Id="rId64" Type="http://schemas.openxmlformats.org/officeDocument/2006/relationships/image" Target="../media/image76.png"/><Relationship Id="rId65" Type="http://schemas.openxmlformats.org/officeDocument/2006/relationships/image" Target="../media/image77.png"/><Relationship Id="rId66" Type="http://schemas.openxmlformats.org/officeDocument/2006/relationships/image" Target="../media/image78.png"/><Relationship Id="rId67" Type="http://schemas.openxmlformats.org/officeDocument/2006/relationships/image" Target="../media/image79.png"/><Relationship Id="rId68" Type="http://schemas.openxmlformats.org/officeDocument/2006/relationships/image" Target="../media/image80.png"/><Relationship Id="rId69" Type="http://schemas.openxmlformats.org/officeDocument/2006/relationships/image" Target="../media/image81.png"/><Relationship Id="rId70" Type="http://schemas.openxmlformats.org/officeDocument/2006/relationships/image" Target="../media/image82.png"/><Relationship Id="rId71" Type="http://schemas.openxmlformats.org/officeDocument/2006/relationships/image" Target="../media/image83.png"/><Relationship Id="rId72" Type="http://schemas.openxmlformats.org/officeDocument/2006/relationships/image" Target="../media/image84.png"/><Relationship Id="rId73" Type="http://schemas.openxmlformats.org/officeDocument/2006/relationships/image" Target="../media/image85.png"/><Relationship Id="rId74" Type="http://schemas.openxmlformats.org/officeDocument/2006/relationships/image" Target="../media/image86.png"/><Relationship Id="rId75" Type="http://schemas.openxmlformats.org/officeDocument/2006/relationships/image" Target="../media/image87.png"/><Relationship Id="rId76" Type="http://schemas.openxmlformats.org/officeDocument/2006/relationships/image" Target="../media/image88.png"/><Relationship Id="rId77" Type="http://schemas.openxmlformats.org/officeDocument/2006/relationships/image" Target="../media/image89.png"/><Relationship Id="rId78" Type="http://schemas.openxmlformats.org/officeDocument/2006/relationships/image" Target="../media/image90.png"/><Relationship Id="rId79" Type="http://schemas.openxmlformats.org/officeDocument/2006/relationships/image" Target="../media/image91.png"/><Relationship Id="rId80" Type="http://schemas.openxmlformats.org/officeDocument/2006/relationships/image" Target="../media/image92.png"/><Relationship Id="rId81" Type="http://schemas.openxmlformats.org/officeDocument/2006/relationships/image" Target="../media/image93.png"/><Relationship Id="rId82" Type="http://schemas.openxmlformats.org/officeDocument/2006/relationships/image" Target="../media/image94.png"/><Relationship Id="rId83" Type="http://schemas.openxmlformats.org/officeDocument/2006/relationships/image" Target="../media/image95.png"/><Relationship Id="rId84" Type="http://schemas.openxmlformats.org/officeDocument/2006/relationships/image" Target="../media/image96.png"/><Relationship Id="rId85" Type="http://schemas.openxmlformats.org/officeDocument/2006/relationships/image" Target="../media/image97.png"/><Relationship Id="rId86" Type="http://schemas.openxmlformats.org/officeDocument/2006/relationships/image" Target="../media/image98.png"/><Relationship Id="rId87" Type="http://schemas.openxmlformats.org/officeDocument/2006/relationships/image" Target="../media/image99.png"/><Relationship Id="rId88" Type="http://schemas.openxmlformats.org/officeDocument/2006/relationships/image" Target="../media/image100.png"/><Relationship Id="rId89" Type="http://schemas.openxmlformats.org/officeDocument/2006/relationships/image" Target="../media/image101.png"/><Relationship Id="rId90" Type="http://schemas.openxmlformats.org/officeDocument/2006/relationships/image" Target="../media/image102.png"/><Relationship Id="rId91" Type="http://schemas.openxmlformats.org/officeDocument/2006/relationships/image" Target="../media/image103.png"/><Relationship Id="rId92" Type="http://schemas.openxmlformats.org/officeDocument/2006/relationships/image" Target="../media/image104.png"/><Relationship Id="rId93" Type="http://schemas.openxmlformats.org/officeDocument/2006/relationships/image" Target="../media/image105.png"/><Relationship Id="rId94" Type="http://schemas.openxmlformats.org/officeDocument/2006/relationships/image" Target="../media/image106.png"/><Relationship Id="rId95" Type="http://schemas.openxmlformats.org/officeDocument/2006/relationships/image" Target="../media/image107.png"/><Relationship Id="rId96" Type="http://schemas.openxmlformats.org/officeDocument/2006/relationships/image" Target="../media/image108.png"/><Relationship Id="rId97" Type="http://schemas.openxmlformats.org/officeDocument/2006/relationships/image" Target="../media/image109.png"/><Relationship Id="rId98" Type="http://schemas.openxmlformats.org/officeDocument/2006/relationships/image" Target="../media/image110.png"/><Relationship Id="rId99" Type="http://schemas.openxmlformats.org/officeDocument/2006/relationships/image" Target="../media/image111.png"/><Relationship Id="rId100" Type="http://schemas.openxmlformats.org/officeDocument/2006/relationships/image" Target="../media/image112.png"/><Relationship Id="rId101" Type="http://schemas.openxmlformats.org/officeDocument/2006/relationships/image" Target="../media/image113.png"/><Relationship Id="rId102" Type="http://schemas.openxmlformats.org/officeDocument/2006/relationships/image" Target="../media/image114.png"/><Relationship Id="rId103" Type="http://schemas.openxmlformats.org/officeDocument/2006/relationships/image" Target="../media/image115.png"/><Relationship Id="rId104" Type="http://schemas.openxmlformats.org/officeDocument/2006/relationships/image" Target="../media/image116.png"/><Relationship Id="rId105" Type="http://schemas.openxmlformats.org/officeDocument/2006/relationships/image" Target="../media/image117.png"/><Relationship Id="rId106" Type="http://schemas.openxmlformats.org/officeDocument/2006/relationships/image" Target="../media/image118.png"/><Relationship Id="rId107" Type="http://schemas.openxmlformats.org/officeDocument/2006/relationships/image" Target="../media/image119.png"/><Relationship Id="rId108" Type="http://schemas.openxmlformats.org/officeDocument/2006/relationships/image" Target="../media/image120.png"/><Relationship Id="rId109" Type="http://schemas.openxmlformats.org/officeDocument/2006/relationships/image" Target="../media/image121.png"/><Relationship Id="rId110" Type="http://schemas.openxmlformats.org/officeDocument/2006/relationships/image" Target="../media/image122.png"/><Relationship Id="rId111" Type="http://schemas.openxmlformats.org/officeDocument/2006/relationships/image" Target="../media/image123.png"/><Relationship Id="rId112" Type="http://schemas.openxmlformats.org/officeDocument/2006/relationships/image" Target="../media/image124.png"/><Relationship Id="rId113" Type="http://schemas.openxmlformats.org/officeDocument/2006/relationships/image" Target="../media/image125.png"/><Relationship Id="rId114" Type="http://schemas.openxmlformats.org/officeDocument/2006/relationships/image" Target="../media/image126.png"/><Relationship Id="rId115" Type="http://schemas.openxmlformats.org/officeDocument/2006/relationships/image" Target="../media/image127.png"/><Relationship Id="rId116" Type="http://schemas.openxmlformats.org/officeDocument/2006/relationships/image" Target="../media/image128.png"/><Relationship Id="rId117" Type="http://schemas.openxmlformats.org/officeDocument/2006/relationships/image" Target="../media/image129.png"/><Relationship Id="rId118" Type="http://schemas.openxmlformats.org/officeDocument/2006/relationships/image" Target="../media/image130.png"/><Relationship Id="rId119" Type="http://schemas.openxmlformats.org/officeDocument/2006/relationships/image" Target="../media/image131.png"/><Relationship Id="rId120" Type="http://schemas.openxmlformats.org/officeDocument/2006/relationships/image" Target="../media/image132.png"/><Relationship Id="rId121" Type="http://schemas.openxmlformats.org/officeDocument/2006/relationships/image" Target="../media/image133.png"/><Relationship Id="rId122" Type="http://schemas.openxmlformats.org/officeDocument/2006/relationships/image" Target="../media/image134.png"/><Relationship Id="rId123" Type="http://schemas.openxmlformats.org/officeDocument/2006/relationships/image" Target="../media/image135.png"/><Relationship Id="rId124" Type="http://schemas.openxmlformats.org/officeDocument/2006/relationships/image" Target="../media/image136.png"/><Relationship Id="rId125" Type="http://schemas.openxmlformats.org/officeDocument/2006/relationships/image" Target="../media/image137.png"/><Relationship Id="rId126" Type="http://schemas.openxmlformats.org/officeDocument/2006/relationships/image" Target="../media/image138.png"/><Relationship Id="rId127" Type="http://schemas.openxmlformats.org/officeDocument/2006/relationships/image" Target="../media/image139.png"/><Relationship Id="rId128" Type="http://schemas.openxmlformats.org/officeDocument/2006/relationships/image" Target="../media/image140.png"/><Relationship Id="rId129" Type="http://schemas.openxmlformats.org/officeDocument/2006/relationships/image" Target="../media/image141.png"/><Relationship Id="rId130" Type="http://schemas.openxmlformats.org/officeDocument/2006/relationships/image" Target="../media/image142.png"/><Relationship Id="rId131" Type="http://schemas.openxmlformats.org/officeDocument/2006/relationships/image" Target="../media/image143.png"/><Relationship Id="rId132" Type="http://schemas.openxmlformats.org/officeDocument/2006/relationships/image" Target="../media/image144.png"/><Relationship Id="rId133" Type="http://schemas.openxmlformats.org/officeDocument/2006/relationships/image" Target="../media/image145.png"/><Relationship Id="rId134" Type="http://schemas.openxmlformats.org/officeDocument/2006/relationships/image" Target="../media/image146.png"/><Relationship Id="rId135" Type="http://schemas.openxmlformats.org/officeDocument/2006/relationships/image" Target="../media/image147.png"/><Relationship Id="rId136" Type="http://schemas.openxmlformats.org/officeDocument/2006/relationships/image" Target="../media/image148.png"/><Relationship Id="rId137" Type="http://schemas.openxmlformats.org/officeDocument/2006/relationships/image" Target="../media/image149.png"/><Relationship Id="rId138" Type="http://schemas.openxmlformats.org/officeDocument/2006/relationships/image" Target="../media/image150.png"/><Relationship Id="rId139" Type="http://schemas.openxmlformats.org/officeDocument/2006/relationships/image" Target="../media/image151.png"/><Relationship Id="rId140" Type="http://schemas.openxmlformats.org/officeDocument/2006/relationships/image" Target="../media/image152.png"/><Relationship Id="rId141" Type="http://schemas.openxmlformats.org/officeDocument/2006/relationships/image" Target="../media/image153.png"/><Relationship Id="rId142" Type="http://schemas.openxmlformats.org/officeDocument/2006/relationships/image" Target="../media/image154.png"/><Relationship Id="rId143" Type="http://schemas.openxmlformats.org/officeDocument/2006/relationships/image" Target="../media/image155.png"/><Relationship Id="rId144" Type="http://schemas.openxmlformats.org/officeDocument/2006/relationships/image" Target="../media/image156.png"/><Relationship Id="rId145" Type="http://schemas.openxmlformats.org/officeDocument/2006/relationships/image" Target="../media/image157.png"/><Relationship Id="rId146" Type="http://schemas.openxmlformats.org/officeDocument/2006/relationships/image" Target="../media/image158.png"/><Relationship Id="rId147" Type="http://schemas.openxmlformats.org/officeDocument/2006/relationships/image" Target="../media/image159.png"/><Relationship Id="rId148" Type="http://schemas.openxmlformats.org/officeDocument/2006/relationships/image" Target="../media/image160.png"/><Relationship Id="rId149" Type="http://schemas.openxmlformats.org/officeDocument/2006/relationships/image" Target="../media/image161.png"/><Relationship Id="rId150" Type="http://schemas.openxmlformats.org/officeDocument/2006/relationships/image" Target="../media/image162.png"/><Relationship Id="rId151" Type="http://schemas.openxmlformats.org/officeDocument/2006/relationships/image" Target="../media/image163.png"/><Relationship Id="rId152" Type="http://schemas.openxmlformats.org/officeDocument/2006/relationships/image" Target="../media/image164.png"/><Relationship Id="rId153" Type="http://schemas.openxmlformats.org/officeDocument/2006/relationships/image" Target="../media/image165.png"/><Relationship Id="rId154" Type="http://schemas.openxmlformats.org/officeDocument/2006/relationships/image" Target="../media/image166.png"/><Relationship Id="rId155" Type="http://schemas.openxmlformats.org/officeDocument/2006/relationships/image" Target="../media/image167.png"/><Relationship Id="rId156" Type="http://schemas.openxmlformats.org/officeDocument/2006/relationships/image" Target="../media/image168.png"/><Relationship Id="rId157" Type="http://schemas.openxmlformats.org/officeDocument/2006/relationships/image" Target="../media/image169.png"/><Relationship Id="rId158" Type="http://schemas.openxmlformats.org/officeDocument/2006/relationships/image" Target="../media/image170.png"/><Relationship Id="rId159" Type="http://schemas.openxmlformats.org/officeDocument/2006/relationships/image" Target="../media/image171.png"/><Relationship Id="rId160" Type="http://schemas.openxmlformats.org/officeDocument/2006/relationships/image" Target="../media/image172.png"/><Relationship Id="rId161" Type="http://schemas.openxmlformats.org/officeDocument/2006/relationships/image" Target="../media/image173.png"/><Relationship Id="rId162" Type="http://schemas.openxmlformats.org/officeDocument/2006/relationships/image" Target="../media/image174.png"/><Relationship Id="rId163" Type="http://schemas.openxmlformats.org/officeDocument/2006/relationships/image" Target="../media/image175.png"/><Relationship Id="rId164" Type="http://schemas.openxmlformats.org/officeDocument/2006/relationships/image" Target="../media/image176.png"/><Relationship Id="rId165" Type="http://schemas.openxmlformats.org/officeDocument/2006/relationships/image" Target="../media/image177.png"/><Relationship Id="rId166" Type="http://schemas.openxmlformats.org/officeDocument/2006/relationships/image" Target="../media/image178.png"/><Relationship Id="rId167" Type="http://schemas.openxmlformats.org/officeDocument/2006/relationships/image" Target="../media/image179.png"/><Relationship Id="rId168" Type="http://schemas.openxmlformats.org/officeDocument/2006/relationships/image" Target="../media/image180.png"/><Relationship Id="rId169" Type="http://schemas.openxmlformats.org/officeDocument/2006/relationships/image" Target="../media/image181.png"/><Relationship Id="rId170" Type="http://schemas.openxmlformats.org/officeDocument/2006/relationships/image" Target="../media/image182.png"/><Relationship Id="rId171" Type="http://schemas.openxmlformats.org/officeDocument/2006/relationships/image" Target="../media/image183.png"/><Relationship Id="rId172" Type="http://schemas.openxmlformats.org/officeDocument/2006/relationships/image" Target="../media/image184.png"/><Relationship Id="rId173" Type="http://schemas.openxmlformats.org/officeDocument/2006/relationships/image" Target="../media/image185.png"/><Relationship Id="rId174" Type="http://schemas.openxmlformats.org/officeDocument/2006/relationships/image" Target="../media/image186.png"/><Relationship Id="rId175" Type="http://schemas.openxmlformats.org/officeDocument/2006/relationships/image" Target="../media/image187.png"/><Relationship Id="rId176" Type="http://schemas.openxmlformats.org/officeDocument/2006/relationships/image" Target="../media/image188.png"/><Relationship Id="rId177" Type="http://schemas.openxmlformats.org/officeDocument/2006/relationships/image" Target="../media/image189.png"/><Relationship Id="rId178" Type="http://schemas.openxmlformats.org/officeDocument/2006/relationships/image" Target="../media/image190.png"/><Relationship Id="rId179" Type="http://schemas.openxmlformats.org/officeDocument/2006/relationships/image" Target="../media/image191.png"/><Relationship Id="rId180" Type="http://schemas.openxmlformats.org/officeDocument/2006/relationships/image" Target="../media/image192.png"/><Relationship Id="rId181" Type="http://schemas.openxmlformats.org/officeDocument/2006/relationships/image" Target="../media/image193.png"/><Relationship Id="rId182" Type="http://schemas.openxmlformats.org/officeDocument/2006/relationships/image" Target="../media/image194.png"/><Relationship Id="rId183" Type="http://schemas.openxmlformats.org/officeDocument/2006/relationships/image" Target="../media/image195.png"/><Relationship Id="rId184" Type="http://schemas.openxmlformats.org/officeDocument/2006/relationships/image" Target="../media/image196.png"/><Relationship Id="rId185" Type="http://schemas.openxmlformats.org/officeDocument/2006/relationships/image" Target="../media/image197.png"/><Relationship Id="rId186" Type="http://schemas.openxmlformats.org/officeDocument/2006/relationships/image" Target="../media/image198.png"/><Relationship Id="rId187" Type="http://schemas.openxmlformats.org/officeDocument/2006/relationships/image" Target="../media/image199.png"/><Relationship Id="rId188" Type="http://schemas.openxmlformats.org/officeDocument/2006/relationships/image" Target="../media/image200.png"/><Relationship Id="rId189" Type="http://schemas.openxmlformats.org/officeDocument/2006/relationships/image" Target="../media/image201.png"/><Relationship Id="rId190" Type="http://schemas.openxmlformats.org/officeDocument/2006/relationships/image" Target="../media/image202.png"/><Relationship Id="rId191" Type="http://schemas.openxmlformats.org/officeDocument/2006/relationships/image" Target="../media/image203.png"/><Relationship Id="rId192" Type="http://schemas.openxmlformats.org/officeDocument/2006/relationships/image" Target="../media/image204.png"/><Relationship Id="rId193" Type="http://schemas.openxmlformats.org/officeDocument/2006/relationships/image" Target="../media/image205.png"/><Relationship Id="rId194" Type="http://schemas.openxmlformats.org/officeDocument/2006/relationships/image" Target="../media/image206.png"/><Relationship Id="rId195" Type="http://schemas.openxmlformats.org/officeDocument/2006/relationships/image" Target="../media/image207.png"/><Relationship Id="rId196" Type="http://schemas.openxmlformats.org/officeDocument/2006/relationships/image" Target="../media/image208.png"/><Relationship Id="rId197" Type="http://schemas.openxmlformats.org/officeDocument/2006/relationships/image" Target="../media/image209.png"/><Relationship Id="rId198" Type="http://schemas.openxmlformats.org/officeDocument/2006/relationships/image" Target="../media/image210.png"/><Relationship Id="rId199" Type="http://schemas.openxmlformats.org/officeDocument/2006/relationships/image" Target="../media/image211.png"/><Relationship Id="rId200" Type="http://schemas.openxmlformats.org/officeDocument/2006/relationships/image" Target="../media/image212.png"/><Relationship Id="rId201" Type="http://schemas.openxmlformats.org/officeDocument/2006/relationships/image" Target="../media/image213.png"/><Relationship Id="rId202" Type="http://schemas.openxmlformats.org/officeDocument/2006/relationships/image" Target="../media/image214.png"/><Relationship Id="rId203" Type="http://schemas.openxmlformats.org/officeDocument/2006/relationships/image" Target="../media/image215.png"/><Relationship Id="rId204" Type="http://schemas.openxmlformats.org/officeDocument/2006/relationships/image" Target="../media/image216.png"/><Relationship Id="rId205" Type="http://schemas.openxmlformats.org/officeDocument/2006/relationships/image" Target="../media/image217.png"/><Relationship Id="rId206" Type="http://schemas.openxmlformats.org/officeDocument/2006/relationships/image" Target="../media/image218.png"/><Relationship Id="rId207" Type="http://schemas.openxmlformats.org/officeDocument/2006/relationships/image" Target="../media/image219.png"/><Relationship Id="rId208" Type="http://schemas.openxmlformats.org/officeDocument/2006/relationships/image" Target="../media/image220.png"/><Relationship Id="rId209" Type="http://schemas.openxmlformats.org/officeDocument/2006/relationships/image" Target="../media/image221.png"/><Relationship Id="rId210" Type="http://schemas.openxmlformats.org/officeDocument/2006/relationships/image" Target="../media/image222.png"/><Relationship Id="rId211" Type="http://schemas.openxmlformats.org/officeDocument/2006/relationships/image" Target="../media/image223.png"/><Relationship Id="rId212" Type="http://schemas.openxmlformats.org/officeDocument/2006/relationships/image" Target="../media/image224.png"/><Relationship Id="rId213" Type="http://schemas.openxmlformats.org/officeDocument/2006/relationships/image" Target="../media/image225.png"/><Relationship Id="rId214" Type="http://schemas.openxmlformats.org/officeDocument/2006/relationships/image" Target="../media/image226.png"/><Relationship Id="rId215" Type="http://schemas.openxmlformats.org/officeDocument/2006/relationships/image" Target="../media/image227.png"/><Relationship Id="rId216" Type="http://schemas.openxmlformats.org/officeDocument/2006/relationships/image" Target="../media/image228.png"/><Relationship Id="rId217" Type="http://schemas.openxmlformats.org/officeDocument/2006/relationships/image" Target="../media/image229.png"/><Relationship Id="rId218" Type="http://schemas.openxmlformats.org/officeDocument/2006/relationships/image" Target="../media/image230.png"/><Relationship Id="rId219" Type="http://schemas.openxmlformats.org/officeDocument/2006/relationships/image" Target="../media/image231.png"/><Relationship Id="rId220" Type="http://schemas.openxmlformats.org/officeDocument/2006/relationships/image" Target="../media/image232.png"/><Relationship Id="rId221" Type="http://schemas.openxmlformats.org/officeDocument/2006/relationships/image" Target="../media/image233.png"/><Relationship Id="rId222" Type="http://schemas.openxmlformats.org/officeDocument/2006/relationships/image" Target="../media/image234.png"/><Relationship Id="rId223" Type="http://schemas.openxmlformats.org/officeDocument/2006/relationships/image" Target="../media/image235.png"/><Relationship Id="rId224" Type="http://schemas.openxmlformats.org/officeDocument/2006/relationships/image" Target="../media/image236.png"/><Relationship Id="rId225" Type="http://schemas.openxmlformats.org/officeDocument/2006/relationships/image" Target="../media/image237.png"/><Relationship Id="rId226" Type="http://schemas.openxmlformats.org/officeDocument/2006/relationships/image" Target="../media/image238.png"/><Relationship Id="rId227" Type="http://schemas.openxmlformats.org/officeDocument/2006/relationships/image" Target="../media/image239.png"/><Relationship Id="rId228" Type="http://schemas.openxmlformats.org/officeDocument/2006/relationships/image" Target="../media/image240.png"/><Relationship Id="rId229" Type="http://schemas.openxmlformats.org/officeDocument/2006/relationships/image" Target="../media/image241.png"/><Relationship Id="rId230" Type="http://schemas.openxmlformats.org/officeDocument/2006/relationships/image" Target="../media/image242.png"/><Relationship Id="rId231" Type="http://schemas.openxmlformats.org/officeDocument/2006/relationships/image" Target="../media/image243.png"/><Relationship Id="rId232" Type="http://schemas.openxmlformats.org/officeDocument/2006/relationships/image" Target="../media/image244.png"/><Relationship Id="rId233" Type="http://schemas.openxmlformats.org/officeDocument/2006/relationships/image" Target="../media/image245.png"/><Relationship Id="rId234" Type="http://schemas.openxmlformats.org/officeDocument/2006/relationships/image" Target="../media/image246.png"/><Relationship Id="rId235" Type="http://schemas.openxmlformats.org/officeDocument/2006/relationships/image" Target="../media/image247.png"/><Relationship Id="rId236" Type="http://schemas.openxmlformats.org/officeDocument/2006/relationships/image" Target="../media/image248.png"/><Relationship Id="rId237" Type="http://schemas.openxmlformats.org/officeDocument/2006/relationships/image" Target="../media/image249.png"/><Relationship Id="rId238" Type="http://schemas.openxmlformats.org/officeDocument/2006/relationships/image" Target="../media/image250.png"/><Relationship Id="rId239" Type="http://schemas.openxmlformats.org/officeDocument/2006/relationships/image" Target="../media/image251.png"/><Relationship Id="rId240" Type="http://schemas.openxmlformats.org/officeDocument/2006/relationships/image" Target="../media/image252.png"/><Relationship Id="rId241" Type="http://schemas.openxmlformats.org/officeDocument/2006/relationships/image" Target="../media/image253.png"/><Relationship Id="rId242" Type="http://schemas.openxmlformats.org/officeDocument/2006/relationships/image" Target="../media/image254.png"/><Relationship Id="rId243" Type="http://schemas.openxmlformats.org/officeDocument/2006/relationships/image" Target="../media/image255.png"/><Relationship Id="rId244" Type="http://schemas.openxmlformats.org/officeDocument/2006/relationships/image" Target="../media/image256.png"/><Relationship Id="rId245" Type="http://schemas.openxmlformats.org/officeDocument/2006/relationships/image" Target="../media/image257.png"/><Relationship Id="rId246" Type="http://schemas.openxmlformats.org/officeDocument/2006/relationships/image" Target="../media/image258.png"/><Relationship Id="rId247" Type="http://schemas.openxmlformats.org/officeDocument/2006/relationships/image" Target="../media/image259.png"/><Relationship Id="rId248" Type="http://schemas.openxmlformats.org/officeDocument/2006/relationships/image" Target="../media/image260.png"/><Relationship Id="rId249" Type="http://schemas.openxmlformats.org/officeDocument/2006/relationships/image" Target="../media/image261.png"/><Relationship Id="rId250" Type="http://schemas.openxmlformats.org/officeDocument/2006/relationships/image" Target="../media/image262.png"/><Relationship Id="rId251" Type="http://schemas.openxmlformats.org/officeDocument/2006/relationships/image" Target="../media/image263.png"/><Relationship Id="rId252" Type="http://schemas.openxmlformats.org/officeDocument/2006/relationships/image" Target="../media/image264.png"/><Relationship Id="rId253" Type="http://schemas.openxmlformats.org/officeDocument/2006/relationships/image" Target="../media/image265.png"/><Relationship Id="rId254" Type="http://schemas.openxmlformats.org/officeDocument/2006/relationships/image" Target="../media/image266.png"/><Relationship Id="rId255" Type="http://schemas.openxmlformats.org/officeDocument/2006/relationships/image" Target="../media/image267.png"/><Relationship Id="rId256" Type="http://schemas.openxmlformats.org/officeDocument/2006/relationships/image" Target="../media/image268.png"/><Relationship Id="rId257" Type="http://schemas.openxmlformats.org/officeDocument/2006/relationships/image" Target="../media/image269.png"/><Relationship Id="rId258" Type="http://schemas.openxmlformats.org/officeDocument/2006/relationships/image" Target="../media/image270.png"/><Relationship Id="rId259" Type="http://schemas.openxmlformats.org/officeDocument/2006/relationships/image" Target="../media/image271.png"/><Relationship Id="rId260" Type="http://schemas.openxmlformats.org/officeDocument/2006/relationships/image" Target="../media/image272.png"/><Relationship Id="rId261" Type="http://schemas.openxmlformats.org/officeDocument/2006/relationships/image" Target="../media/image273.png"/><Relationship Id="rId262" Type="http://schemas.openxmlformats.org/officeDocument/2006/relationships/image" Target="../media/image274.png"/><Relationship Id="rId263" Type="http://schemas.openxmlformats.org/officeDocument/2006/relationships/image" Target="../media/image275.png"/><Relationship Id="rId264" Type="http://schemas.openxmlformats.org/officeDocument/2006/relationships/image" Target="../media/image276.png"/><Relationship Id="rId265" Type="http://schemas.openxmlformats.org/officeDocument/2006/relationships/image" Target="../media/image277.png"/><Relationship Id="rId266" Type="http://schemas.openxmlformats.org/officeDocument/2006/relationships/image" Target="../media/image278.png"/><Relationship Id="rId267" Type="http://schemas.openxmlformats.org/officeDocument/2006/relationships/image" Target="../media/image279.png"/><Relationship Id="rId268" Type="http://schemas.openxmlformats.org/officeDocument/2006/relationships/image" Target="../media/image280.png"/><Relationship Id="rId269" Type="http://schemas.openxmlformats.org/officeDocument/2006/relationships/image" Target="../media/image281.png"/><Relationship Id="rId270" Type="http://schemas.openxmlformats.org/officeDocument/2006/relationships/image" Target="../media/image282.png"/><Relationship Id="rId271" Type="http://schemas.openxmlformats.org/officeDocument/2006/relationships/image" Target="../media/image283.png"/><Relationship Id="rId272" Type="http://schemas.openxmlformats.org/officeDocument/2006/relationships/image" Target="../media/image284.png"/><Relationship Id="rId273" Type="http://schemas.openxmlformats.org/officeDocument/2006/relationships/image" Target="../media/image285.png"/><Relationship Id="rId274" Type="http://schemas.openxmlformats.org/officeDocument/2006/relationships/image" Target="../media/image286.png"/><Relationship Id="rId275" Type="http://schemas.openxmlformats.org/officeDocument/2006/relationships/image" Target="../media/image287.png"/><Relationship Id="rId276" Type="http://schemas.openxmlformats.org/officeDocument/2006/relationships/image" Target="../media/image288.png"/><Relationship Id="rId277" Type="http://schemas.openxmlformats.org/officeDocument/2006/relationships/image" Target="../media/image289.png"/><Relationship Id="rId278" Type="http://schemas.openxmlformats.org/officeDocument/2006/relationships/image" Target="../media/image290.png"/><Relationship Id="rId279" Type="http://schemas.openxmlformats.org/officeDocument/2006/relationships/image" Target="../media/image291.png"/><Relationship Id="rId280" Type="http://schemas.openxmlformats.org/officeDocument/2006/relationships/image" Target="../media/image292.png"/><Relationship Id="rId281" Type="http://schemas.openxmlformats.org/officeDocument/2006/relationships/image" Target="../media/image293.png"/><Relationship Id="rId282" Type="http://schemas.openxmlformats.org/officeDocument/2006/relationships/image" Target="../media/image294.png"/><Relationship Id="rId283" Type="http://schemas.openxmlformats.org/officeDocument/2006/relationships/image" Target="../media/image295.png"/><Relationship Id="rId284" Type="http://schemas.openxmlformats.org/officeDocument/2006/relationships/image" Target="../media/image296.png"/><Relationship Id="rId285" Type="http://schemas.openxmlformats.org/officeDocument/2006/relationships/image" Target="../media/image297.png"/><Relationship Id="rId286" Type="http://schemas.openxmlformats.org/officeDocument/2006/relationships/image" Target="../media/image298.png"/><Relationship Id="rId287" Type="http://schemas.openxmlformats.org/officeDocument/2006/relationships/image" Target="../media/image299.png"/><Relationship Id="rId288" Type="http://schemas.openxmlformats.org/officeDocument/2006/relationships/image" Target="../media/image300.png"/><Relationship Id="rId289" Type="http://schemas.openxmlformats.org/officeDocument/2006/relationships/image" Target="../media/image301.png"/><Relationship Id="rId290" Type="http://schemas.openxmlformats.org/officeDocument/2006/relationships/image" Target="../media/image302.png"/><Relationship Id="rId291" Type="http://schemas.openxmlformats.org/officeDocument/2006/relationships/image" Target="../media/image303.png"/><Relationship Id="rId292" Type="http://schemas.openxmlformats.org/officeDocument/2006/relationships/image" Target="../media/image304.png"/><Relationship Id="rId293" Type="http://schemas.openxmlformats.org/officeDocument/2006/relationships/image" Target="../media/image305.png"/><Relationship Id="rId294" Type="http://schemas.openxmlformats.org/officeDocument/2006/relationships/image" Target="../media/image306.png"/><Relationship Id="rId295" Type="http://schemas.openxmlformats.org/officeDocument/2006/relationships/image" Target="../media/image307.png"/><Relationship Id="rId296" Type="http://schemas.openxmlformats.org/officeDocument/2006/relationships/image" Target="../media/image308.png"/><Relationship Id="rId297" Type="http://schemas.openxmlformats.org/officeDocument/2006/relationships/image" Target="../media/image309.png"/><Relationship Id="rId298" Type="http://schemas.openxmlformats.org/officeDocument/2006/relationships/image" Target="../media/image310.png"/><Relationship Id="rId299" Type="http://schemas.openxmlformats.org/officeDocument/2006/relationships/image" Target="../media/image311.png"/><Relationship Id="rId300" Type="http://schemas.openxmlformats.org/officeDocument/2006/relationships/image" Target="../media/image312.png"/><Relationship Id="rId301" Type="http://schemas.openxmlformats.org/officeDocument/2006/relationships/image" Target="../media/image313.png"/><Relationship Id="rId302" Type="http://schemas.openxmlformats.org/officeDocument/2006/relationships/image" Target="../media/image314.png"/><Relationship Id="rId303" Type="http://schemas.openxmlformats.org/officeDocument/2006/relationships/image" Target="../media/image315.png"/><Relationship Id="rId304" Type="http://schemas.openxmlformats.org/officeDocument/2006/relationships/image" Target="../media/image316.png"/><Relationship Id="rId305" Type="http://schemas.openxmlformats.org/officeDocument/2006/relationships/image" Target="../media/image317.png"/><Relationship Id="rId306" Type="http://schemas.openxmlformats.org/officeDocument/2006/relationships/image" Target="../media/image318.png"/><Relationship Id="rId307" Type="http://schemas.openxmlformats.org/officeDocument/2006/relationships/image" Target="../media/image319.png"/><Relationship Id="rId308" Type="http://schemas.openxmlformats.org/officeDocument/2006/relationships/image" Target="../media/image320.png"/><Relationship Id="rId309" Type="http://schemas.openxmlformats.org/officeDocument/2006/relationships/image" Target="../media/image321.png"/><Relationship Id="rId310" Type="http://schemas.openxmlformats.org/officeDocument/2006/relationships/image" Target="../media/image322.png"/><Relationship Id="rId311" Type="http://schemas.openxmlformats.org/officeDocument/2006/relationships/image" Target="../media/image323.png"/><Relationship Id="rId312" Type="http://schemas.openxmlformats.org/officeDocument/2006/relationships/image" Target="../media/image324.png"/><Relationship Id="rId313" Type="http://schemas.openxmlformats.org/officeDocument/2006/relationships/image" Target="../media/image325.png"/><Relationship Id="rId314" Type="http://schemas.openxmlformats.org/officeDocument/2006/relationships/image" Target="../media/image326.png"/><Relationship Id="rId315" Type="http://schemas.openxmlformats.org/officeDocument/2006/relationships/image" Target="../media/image327.png"/><Relationship Id="rId316" Type="http://schemas.openxmlformats.org/officeDocument/2006/relationships/image" Target="../media/image328.png"/><Relationship Id="rId317" Type="http://schemas.openxmlformats.org/officeDocument/2006/relationships/image" Target="../media/image329.png"/><Relationship Id="rId318" Type="http://schemas.openxmlformats.org/officeDocument/2006/relationships/image" Target="../media/image330.png"/><Relationship Id="rId319" Type="http://schemas.openxmlformats.org/officeDocument/2006/relationships/image" Target="../media/image331.png"/><Relationship Id="rId320" Type="http://schemas.openxmlformats.org/officeDocument/2006/relationships/image" Target="../media/image332.png"/><Relationship Id="rId321" Type="http://schemas.openxmlformats.org/officeDocument/2006/relationships/image" Target="../media/image333.png"/><Relationship Id="rId322" Type="http://schemas.openxmlformats.org/officeDocument/2006/relationships/image" Target="../media/image334.png"/><Relationship Id="rId323" Type="http://schemas.openxmlformats.org/officeDocument/2006/relationships/image" Target="../media/image335.png"/><Relationship Id="rId324" Type="http://schemas.openxmlformats.org/officeDocument/2006/relationships/image" Target="../media/image336.png"/><Relationship Id="rId325" Type="http://schemas.openxmlformats.org/officeDocument/2006/relationships/image" Target="../media/image337.png"/><Relationship Id="rId326" Type="http://schemas.openxmlformats.org/officeDocument/2006/relationships/image" Target="../media/image338.png"/><Relationship Id="rId327" Type="http://schemas.openxmlformats.org/officeDocument/2006/relationships/image" Target="../media/image339.png"/><Relationship Id="rId328" Type="http://schemas.openxmlformats.org/officeDocument/2006/relationships/image" Target="../media/image340.png"/><Relationship Id="rId329" Type="http://schemas.openxmlformats.org/officeDocument/2006/relationships/image" Target="../media/image341.png"/><Relationship Id="rId330" Type="http://schemas.openxmlformats.org/officeDocument/2006/relationships/image" Target="../media/image342.png"/><Relationship Id="rId331" Type="http://schemas.openxmlformats.org/officeDocument/2006/relationships/image" Target="../media/image343.png"/><Relationship Id="rId332" Type="http://schemas.openxmlformats.org/officeDocument/2006/relationships/image" Target="../media/image344.png"/><Relationship Id="rId333" Type="http://schemas.openxmlformats.org/officeDocument/2006/relationships/image" Target="../media/image345.png"/><Relationship Id="rId334" Type="http://schemas.openxmlformats.org/officeDocument/2006/relationships/image" Target="../media/image346.png"/><Relationship Id="rId335" Type="http://schemas.openxmlformats.org/officeDocument/2006/relationships/image" Target="../media/image347.png"/><Relationship Id="rId336" Type="http://schemas.openxmlformats.org/officeDocument/2006/relationships/image" Target="../media/image348.png"/><Relationship Id="rId337" Type="http://schemas.openxmlformats.org/officeDocument/2006/relationships/image" Target="../media/image349.png"/><Relationship Id="rId338" Type="http://schemas.openxmlformats.org/officeDocument/2006/relationships/image" Target="../media/image350.png"/><Relationship Id="rId339" Type="http://schemas.openxmlformats.org/officeDocument/2006/relationships/image" Target="../media/image351.png"/><Relationship Id="rId340" Type="http://schemas.openxmlformats.org/officeDocument/2006/relationships/image" Target="../media/image352.png"/><Relationship Id="rId341" Type="http://schemas.openxmlformats.org/officeDocument/2006/relationships/image" Target="../media/image353.png"/><Relationship Id="rId342" Type="http://schemas.openxmlformats.org/officeDocument/2006/relationships/image" Target="../media/image354.png"/><Relationship Id="rId343" Type="http://schemas.openxmlformats.org/officeDocument/2006/relationships/image" Target="../media/image355.png"/><Relationship Id="rId344" Type="http://schemas.openxmlformats.org/officeDocument/2006/relationships/image" Target="../media/image356.png"/><Relationship Id="rId345" Type="http://schemas.openxmlformats.org/officeDocument/2006/relationships/image" Target="../media/image357.png"/><Relationship Id="rId346" Type="http://schemas.openxmlformats.org/officeDocument/2006/relationships/image" Target="../media/image358.png"/><Relationship Id="rId347" Type="http://schemas.openxmlformats.org/officeDocument/2006/relationships/image" Target="../media/image359.png"/><Relationship Id="rId348" Type="http://schemas.openxmlformats.org/officeDocument/2006/relationships/image" Target="../media/image360.png"/><Relationship Id="rId349" Type="http://schemas.openxmlformats.org/officeDocument/2006/relationships/image" Target="../media/image361.png"/><Relationship Id="rId350" Type="http://schemas.openxmlformats.org/officeDocument/2006/relationships/image" Target="../media/image362.png"/><Relationship Id="rId351" Type="http://schemas.openxmlformats.org/officeDocument/2006/relationships/image" Target="../media/image363.png"/><Relationship Id="rId352" Type="http://schemas.openxmlformats.org/officeDocument/2006/relationships/image" Target="../media/image364.png"/><Relationship Id="rId353" Type="http://schemas.openxmlformats.org/officeDocument/2006/relationships/image" Target="../media/image365.png"/><Relationship Id="rId354" Type="http://schemas.openxmlformats.org/officeDocument/2006/relationships/image" Target="../media/image366.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70.png"/><Relationship Id="rId4" Type="http://schemas.openxmlformats.org/officeDocument/2006/relationships/image" Target="../media/image371.png"/><Relationship Id="rId5" Type="http://schemas.openxmlformats.org/officeDocument/2006/relationships/image" Target="../media/image372.png"/><Relationship Id="rId6" Type="http://schemas.openxmlformats.org/officeDocument/2006/relationships/image" Target="../media/image373.png"/><Relationship Id="rId7" Type="http://schemas.openxmlformats.org/officeDocument/2006/relationships/image" Target="../media/image374.png"/><Relationship Id="rId8" Type="http://schemas.openxmlformats.org/officeDocument/2006/relationships/image" Target="../media/image375.png"/><Relationship Id="rId9" Type="http://schemas.openxmlformats.org/officeDocument/2006/relationships/image" Target="../media/image376.png"/><Relationship Id="rId10" Type="http://schemas.openxmlformats.org/officeDocument/2006/relationships/image" Target="../media/image377.png"/><Relationship Id="rId11" Type="http://schemas.openxmlformats.org/officeDocument/2006/relationships/image" Target="../media/image378.png"/><Relationship Id="rId12" Type="http://schemas.openxmlformats.org/officeDocument/2006/relationships/image" Target="../media/image379.png"/><Relationship Id="rId13" Type="http://schemas.openxmlformats.org/officeDocument/2006/relationships/image" Target="../media/image380.png"/><Relationship Id="rId14" Type="http://schemas.openxmlformats.org/officeDocument/2006/relationships/image" Target="../media/image381.png"/><Relationship Id="rId15" Type="http://schemas.openxmlformats.org/officeDocument/2006/relationships/image" Target="../media/image382.png"/><Relationship Id="rId16" Type="http://schemas.openxmlformats.org/officeDocument/2006/relationships/image" Target="../media/image383.png"/><Relationship Id="rId17" Type="http://schemas.openxmlformats.org/officeDocument/2006/relationships/image" Target="../media/image384.png"/><Relationship Id="rId18" Type="http://schemas.openxmlformats.org/officeDocument/2006/relationships/image" Target="../media/image385.png"/><Relationship Id="rId19" Type="http://schemas.openxmlformats.org/officeDocument/2006/relationships/image" Target="../media/image386.png"/><Relationship Id="rId20" Type="http://schemas.openxmlformats.org/officeDocument/2006/relationships/image" Target="../media/image387.png"/><Relationship Id="rId21" Type="http://schemas.openxmlformats.org/officeDocument/2006/relationships/image" Target="../media/image388.png"/><Relationship Id="rId22" Type="http://schemas.openxmlformats.org/officeDocument/2006/relationships/image" Target="../media/image389.png"/><Relationship Id="rId23" Type="http://schemas.openxmlformats.org/officeDocument/2006/relationships/image" Target="../media/image390.png"/><Relationship Id="rId24" Type="http://schemas.openxmlformats.org/officeDocument/2006/relationships/image" Target="../media/image391.png"/><Relationship Id="rId25" Type="http://schemas.openxmlformats.org/officeDocument/2006/relationships/image" Target="../media/image392.png"/><Relationship Id="rId26" Type="http://schemas.openxmlformats.org/officeDocument/2006/relationships/image" Target="../media/image393.png"/><Relationship Id="rId27" Type="http://schemas.openxmlformats.org/officeDocument/2006/relationships/image" Target="../media/image394.png"/><Relationship Id="rId28" Type="http://schemas.openxmlformats.org/officeDocument/2006/relationships/image" Target="../media/image395.png"/><Relationship Id="rId29" Type="http://schemas.openxmlformats.org/officeDocument/2006/relationships/image" Target="../media/image396.png"/><Relationship Id="rId30" Type="http://schemas.openxmlformats.org/officeDocument/2006/relationships/image" Target="../media/image397.png"/><Relationship Id="rId31" Type="http://schemas.openxmlformats.org/officeDocument/2006/relationships/image" Target="../media/image398.png"/><Relationship Id="rId32" Type="http://schemas.openxmlformats.org/officeDocument/2006/relationships/image" Target="../media/image399.png"/><Relationship Id="rId33" Type="http://schemas.openxmlformats.org/officeDocument/2006/relationships/image" Target="../media/image400.png"/><Relationship Id="rId34" Type="http://schemas.openxmlformats.org/officeDocument/2006/relationships/image" Target="../media/image401.png"/><Relationship Id="rId35" Type="http://schemas.openxmlformats.org/officeDocument/2006/relationships/image" Target="../media/image402.png"/><Relationship Id="rId36" Type="http://schemas.openxmlformats.org/officeDocument/2006/relationships/image" Target="../media/image403.png"/><Relationship Id="rId37" Type="http://schemas.openxmlformats.org/officeDocument/2006/relationships/image" Target="../media/image404.png"/><Relationship Id="rId38" Type="http://schemas.openxmlformats.org/officeDocument/2006/relationships/image" Target="../media/image405.png"/><Relationship Id="rId39" Type="http://schemas.openxmlformats.org/officeDocument/2006/relationships/image" Target="../media/image406.png"/><Relationship Id="rId40" Type="http://schemas.openxmlformats.org/officeDocument/2006/relationships/image" Target="../media/image407.png"/><Relationship Id="rId41" Type="http://schemas.openxmlformats.org/officeDocument/2006/relationships/image" Target="../media/image408.png"/><Relationship Id="rId42" Type="http://schemas.openxmlformats.org/officeDocument/2006/relationships/image" Target="../media/image409.png"/><Relationship Id="rId43" Type="http://schemas.openxmlformats.org/officeDocument/2006/relationships/image" Target="../media/image410.png"/><Relationship Id="rId44" Type="http://schemas.openxmlformats.org/officeDocument/2006/relationships/image" Target="../media/image411.png"/><Relationship Id="rId45" Type="http://schemas.openxmlformats.org/officeDocument/2006/relationships/image" Target="../media/image412.png"/><Relationship Id="rId46" Type="http://schemas.openxmlformats.org/officeDocument/2006/relationships/image" Target="../media/image413.png"/><Relationship Id="rId47" Type="http://schemas.openxmlformats.org/officeDocument/2006/relationships/image" Target="../media/image414.png"/><Relationship Id="rId48" Type="http://schemas.openxmlformats.org/officeDocument/2006/relationships/image" Target="../media/image415.png"/><Relationship Id="rId49" Type="http://schemas.openxmlformats.org/officeDocument/2006/relationships/image" Target="../media/image416.png"/><Relationship Id="rId50" Type="http://schemas.openxmlformats.org/officeDocument/2006/relationships/image" Target="../media/image417.png"/><Relationship Id="rId51" Type="http://schemas.openxmlformats.org/officeDocument/2006/relationships/image" Target="../media/image418.png"/><Relationship Id="rId52" Type="http://schemas.openxmlformats.org/officeDocument/2006/relationships/image" Target="../media/image419.png"/><Relationship Id="rId53" Type="http://schemas.openxmlformats.org/officeDocument/2006/relationships/image" Target="../media/image420.png"/><Relationship Id="rId54" Type="http://schemas.openxmlformats.org/officeDocument/2006/relationships/image" Target="../media/image421.png"/><Relationship Id="rId55" Type="http://schemas.openxmlformats.org/officeDocument/2006/relationships/image" Target="../media/image422.png"/><Relationship Id="rId56" Type="http://schemas.openxmlformats.org/officeDocument/2006/relationships/image" Target="../media/image423.png"/><Relationship Id="rId57" Type="http://schemas.openxmlformats.org/officeDocument/2006/relationships/image" Target="../media/image424.png"/><Relationship Id="rId58" Type="http://schemas.openxmlformats.org/officeDocument/2006/relationships/image" Target="../media/image425.png"/><Relationship Id="rId59" Type="http://schemas.openxmlformats.org/officeDocument/2006/relationships/image" Target="../media/image426.png"/><Relationship Id="rId60" Type="http://schemas.openxmlformats.org/officeDocument/2006/relationships/image" Target="../media/image427.png"/><Relationship Id="rId61" Type="http://schemas.openxmlformats.org/officeDocument/2006/relationships/image" Target="../media/image428.png"/><Relationship Id="rId62" Type="http://schemas.openxmlformats.org/officeDocument/2006/relationships/image" Target="../media/image429.png"/><Relationship Id="rId63" Type="http://schemas.openxmlformats.org/officeDocument/2006/relationships/image" Target="../media/image430.png"/><Relationship Id="rId64" Type="http://schemas.openxmlformats.org/officeDocument/2006/relationships/image" Target="../media/image431.png"/><Relationship Id="rId65" Type="http://schemas.openxmlformats.org/officeDocument/2006/relationships/image" Target="../media/image432.png"/><Relationship Id="rId66" Type="http://schemas.openxmlformats.org/officeDocument/2006/relationships/image" Target="../media/image433.png"/><Relationship Id="rId67" Type="http://schemas.openxmlformats.org/officeDocument/2006/relationships/image" Target="../media/image434.png"/><Relationship Id="rId68" Type="http://schemas.openxmlformats.org/officeDocument/2006/relationships/image" Target="../media/image435.png"/><Relationship Id="rId69" Type="http://schemas.openxmlformats.org/officeDocument/2006/relationships/image" Target="../media/image436.png"/><Relationship Id="rId70" Type="http://schemas.openxmlformats.org/officeDocument/2006/relationships/image" Target="../media/image437.png"/><Relationship Id="rId71" Type="http://schemas.openxmlformats.org/officeDocument/2006/relationships/image" Target="../media/image438.png"/><Relationship Id="rId72" Type="http://schemas.openxmlformats.org/officeDocument/2006/relationships/image" Target="../media/image439.png"/><Relationship Id="rId73" Type="http://schemas.openxmlformats.org/officeDocument/2006/relationships/image" Target="../media/image440.png"/><Relationship Id="rId74" Type="http://schemas.openxmlformats.org/officeDocument/2006/relationships/image" Target="../media/image441.png"/><Relationship Id="rId75" Type="http://schemas.openxmlformats.org/officeDocument/2006/relationships/image" Target="../media/image442.png"/><Relationship Id="rId76" Type="http://schemas.openxmlformats.org/officeDocument/2006/relationships/image" Target="../media/image443.png"/><Relationship Id="rId77" Type="http://schemas.openxmlformats.org/officeDocument/2006/relationships/image" Target="../media/image444.png"/><Relationship Id="rId78" Type="http://schemas.openxmlformats.org/officeDocument/2006/relationships/image" Target="../media/image445.png"/><Relationship Id="rId79" Type="http://schemas.openxmlformats.org/officeDocument/2006/relationships/image" Target="../media/image446.png"/><Relationship Id="rId80" Type="http://schemas.openxmlformats.org/officeDocument/2006/relationships/image" Target="../media/image447.png"/><Relationship Id="rId81" Type="http://schemas.openxmlformats.org/officeDocument/2006/relationships/image" Target="../media/image448.png"/><Relationship Id="rId82" Type="http://schemas.openxmlformats.org/officeDocument/2006/relationships/image" Target="../media/image449.png"/><Relationship Id="rId83" Type="http://schemas.openxmlformats.org/officeDocument/2006/relationships/image" Target="../media/image450.png"/><Relationship Id="rId84" Type="http://schemas.openxmlformats.org/officeDocument/2006/relationships/image" Target="../media/image451.png"/><Relationship Id="rId85" Type="http://schemas.openxmlformats.org/officeDocument/2006/relationships/image" Target="../media/image452.png"/><Relationship Id="rId86" Type="http://schemas.openxmlformats.org/officeDocument/2006/relationships/image" Target="../media/image453.png"/><Relationship Id="rId87" Type="http://schemas.openxmlformats.org/officeDocument/2006/relationships/image" Target="../media/image454.png"/><Relationship Id="rId88" Type="http://schemas.openxmlformats.org/officeDocument/2006/relationships/image" Target="../media/image455.png"/><Relationship Id="rId89" Type="http://schemas.openxmlformats.org/officeDocument/2006/relationships/image" Target="../media/image456.png"/><Relationship Id="rId90" Type="http://schemas.openxmlformats.org/officeDocument/2006/relationships/image" Target="../media/image457.png"/><Relationship Id="rId91" Type="http://schemas.openxmlformats.org/officeDocument/2006/relationships/image" Target="../media/image458.png"/><Relationship Id="rId92" Type="http://schemas.openxmlformats.org/officeDocument/2006/relationships/image" Target="../media/image459.png"/><Relationship Id="rId93" Type="http://schemas.openxmlformats.org/officeDocument/2006/relationships/image" Target="../media/image460.png"/><Relationship Id="rId94" Type="http://schemas.openxmlformats.org/officeDocument/2006/relationships/image" Target="../media/image461.png"/><Relationship Id="rId95" Type="http://schemas.openxmlformats.org/officeDocument/2006/relationships/image" Target="../media/image462.png"/><Relationship Id="rId96" Type="http://schemas.openxmlformats.org/officeDocument/2006/relationships/image" Target="../media/image463.png"/><Relationship Id="rId97" Type="http://schemas.openxmlformats.org/officeDocument/2006/relationships/image" Target="../media/image464.png"/><Relationship Id="rId98" Type="http://schemas.openxmlformats.org/officeDocument/2006/relationships/image" Target="../media/image465.png"/><Relationship Id="rId99" Type="http://schemas.openxmlformats.org/officeDocument/2006/relationships/image" Target="../media/image466.png"/><Relationship Id="rId100" Type="http://schemas.openxmlformats.org/officeDocument/2006/relationships/image" Target="../media/image467.png"/><Relationship Id="rId101" Type="http://schemas.openxmlformats.org/officeDocument/2006/relationships/image" Target="../media/image468.png"/><Relationship Id="rId102" Type="http://schemas.openxmlformats.org/officeDocument/2006/relationships/image" Target="../media/image469.png"/><Relationship Id="rId103" Type="http://schemas.openxmlformats.org/officeDocument/2006/relationships/image" Target="../media/image470.png"/><Relationship Id="rId104" Type="http://schemas.openxmlformats.org/officeDocument/2006/relationships/image" Target="../media/image471.png"/><Relationship Id="rId105" Type="http://schemas.openxmlformats.org/officeDocument/2006/relationships/image" Target="../media/image472.png"/><Relationship Id="rId106" Type="http://schemas.openxmlformats.org/officeDocument/2006/relationships/image" Target="../media/image473.png"/><Relationship Id="rId107" Type="http://schemas.openxmlformats.org/officeDocument/2006/relationships/image" Target="../media/image474.png"/><Relationship Id="rId108" Type="http://schemas.openxmlformats.org/officeDocument/2006/relationships/image" Target="../media/image475.png"/><Relationship Id="rId109" Type="http://schemas.openxmlformats.org/officeDocument/2006/relationships/image" Target="../media/image476.png"/><Relationship Id="rId110" Type="http://schemas.openxmlformats.org/officeDocument/2006/relationships/image" Target="../media/image477.png"/><Relationship Id="rId111" Type="http://schemas.openxmlformats.org/officeDocument/2006/relationships/image" Target="../media/image478.png"/><Relationship Id="rId112" Type="http://schemas.openxmlformats.org/officeDocument/2006/relationships/image" Target="../media/image479.png"/><Relationship Id="rId113" Type="http://schemas.openxmlformats.org/officeDocument/2006/relationships/image" Target="../media/image480.png"/><Relationship Id="rId114" Type="http://schemas.openxmlformats.org/officeDocument/2006/relationships/image" Target="../media/image481.png"/><Relationship Id="rId115" Type="http://schemas.openxmlformats.org/officeDocument/2006/relationships/image" Target="../media/image482.png"/><Relationship Id="rId116" Type="http://schemas.openxmlformats.org/officeDocument/2006/relationships/image" Target="../media/image483.png"/><Relationship Id="rId117" Type="http://schemas.openxmlformats.org/officeDocument/2006/relationships/image" Target="../media/image484.png"/><Relationship Id="rId118" Type="http://schemas.openxmlformats.org/officeDocument/2006/relationships/image" Target="../media/image485.png"/><Relationship Id="rId119" Type="http://schemas.openxmlformats.org/officeDocument/2006/relationships/image" Target="../media/image486.png"/><Relationship Id="rId120" Type="http://schemas.openxmlformats.org/officeDocument/2006/relationships/image" Target="../media/image487.png"/><Relationship Id="rId121" Type="http://schemas.openxmlformats.org/officeDocument/2006/relationships/image" Target="../media/image488.png"/><Relationship Id="rId122" Type="http://schemas.openxmlformats.org/officeDocument/2006/relationships/image" Target="../media/image489.png"/><Relationship Id="rId123" Type="http://schemas.openxmlformats.org/officeDocument/2006/relationships/image" Target="../media/image490.png"/><Relationship Id="rId124" Type="http://schemas.openxmlformats.org/officeDocument/2006/relationships/image" Target="../media/image491.png"/><Relationship Id="rId125" Type="http://schemas.openxmlformats.org/officeDocument/2006/relationships/image" Target="../media/image492.png"/><Relationship Id="rId126" Type="http://schemas.openxmlformats.org/officeDocument/2006/relationships/image" Target="../media/image493.png"/><Relationship Id="rId127" Type="http://schemas.openxmlformats.org/officeDocument/2006/relationships/image" Target="../media/image494.png"/><Relationship Id="rId128" Type="http://schemas.openxmlformats.org/officeDocument/2006/relationships/image" Target="../media/image495.png"/><Relationship Id="rId129" Type="http://schemas.openxmlformats.org/officeDocument/2006/relationships/image" Target="../media/image496.png"/><Relationship Id="rId130" Type="http://schemas.openxmlformats.org/officeDocument/2006/relationships/image" Target="../media/image497.png"/><Relationship Id="rId131" Type="http://schemas.openxmlformats.org/officeDocument/2006/relationships/image" Target="../media/image498.png"/><Relationship Id="rId132" Type="http://schemas.openxmlformats.org/officeDocument/2006/relationships/image" Target="../media/image499.png"/><Relationship Id="rId133" Type="http://schemas.openxmlformats.org/officeDocument/2006/relationships/image" Target="../media/image500.png"/><Relationship Id="rId134" Type="http://schemas.openxmlformats.org/officeDocument/2006/relationships/image" Target="../media/image501.png"/><Relationship Id="rId135" Type="http://schemas.openxmlformats.org/officeDocument/2006/relationships/image" Target="../media/image502.png"/><Relationship Id="rId136" Type="http://schemas.openxmlformats.org/officeDocument/2006/relationships/image" Target="../media/image503.png"/><Relationship Id="rId137" Type="http://schemas.openxmlformats.org/officeDocument/2006/relationships/image" Target="../media/image504.png"/><Relationship Id="rId138" Type="http://schemas.openxmlformats.org/officeDocument/2006/relationships/image" Target="../media/image505.png"/><Relationship Id="rId139" Type="http://schemas.openxmlformats.org/officeDocument/2006/relationships/image" Target="../media/image506.png"/><Relationship Id="rId140" Type="http://schemas.openxmlformats.org/officeDocument/2006/relationships/image" Target="../media/image507.png"/><Relationship Id="rId141" Type="http://schemas.openxmlformats.org/officeDocument/2006/relationships/image" Target="../media/image508.png"/><Relationship Id="rId142" Type="http://schemas.openxmlformats.org/officeDocument/2006/relationships/image" Target="../media/image509.png"/><Relationship Id="rId143" Type="http://schemas.openxmlformats.org/officeDocument/2006/relationships/image" Target="../media/image510.png"/><Relationship Id="rId144" Type="http://schemas.openxmlformats.org/officeDocument/2006/relationships/image" Target="../media/image511.png"/><Relationship Id="rId145" Type="http://schemas.openxmlformats.org/officeDocument/2006/relationships/image" Target="../media/image512.png"/><Relationship Id="rId146" Type="http://schemas.openxmlformats.org/officeDocument/2006/relationships/image" Target="../media/image513.png"/><Relationship Id="rId147" Type="http://schemas.openxmlformats.org/officeDocument/2006/relationships/image" Target="../media/image514.png"/><Relationship Id="rId148" Type="http://schemas.openxmlformats.org/officeDocument/2006/relationships/image" Target="../media/image515.png"/><Relationship Id="rId149" Type="http://schemas.openxmlformats.org/officeDocument/2006/relationships/image" Target="../media/image516.png"/><Relationship Id="rId150" Type="http://schemas.openxmlformats.org/officeDocument/2006/relationships/image" Target="../media/image517.png"/><Relationship Id="rId151" Type="http://schemas.openxmlformats.org/officeDocument/2006/relationships/image" Target="../media/image518.png"/><Relationship Id="rId152" Type="http://schemas.openxmlformats.org/officeDocument/2006/relationships/image" Target="../media/image519.png"/><Relationship Id="rId153" Type="http://schemas.openxmlformats.org/officeDocument/2006/relationships/image" Target="../media/image520.png"/><Relationship Id="rId154" Type="http://schemas.openxmlformats.org/officeDocument/2006/relationships/image" Target="../media/image521.png"/><Relationship Id="rId155" Type="http://schemas.openxmlformats.org/officeDocument/2006/relationships/image" Target="../media/image522.png"/><Relationship Id="rId156" Type="http://schemas.openxmlformats.org/officeDocument/2006/relationships/image" Target="../media/image523.png"/><Relationship Id="rId157" Type="http://schemas.openxmlformats.org/officeDocument/2006/relationships/image" Target="../media/image524.png"/><Relationship Id="rId158" Type="http://schemas.openxmlformats.org/officeDocument/2006/relationships/image" Target="../media/image525.png"/><Relationship Id="rId159" Type="http://schemas.openxmlformats.org/officeDocument/2006/relationships/image" Target="../media/image526.png"/><Relationship Id="rId160" Type="http://schemas.openxmlformats.org/officeDocument/2006/relationships/image" Target="../media/image527.png"/><Relationship Id="rId161" Type="http://schemas.openxmlformats.org/officeDocument/2006/relationships/image" Target="../media/image528.png"/><Relationship Id="rId162" Type="http://schemas.openxmlformats.org/officeDocument/2006/relationships/image" Target="../media/image529.png"/><Relationship Id="rId163" Type="http://schemas.openxmlformats.org/officeDocument/2006/relationships/image" Target="../media/image530.png"/><Relationship Id="rId164" Type="http://schemas.openxmlformats.org/officeDocument/2006/relationships/image" Target="../media/image531.png"/><Relationship Id="rId165" Type="http://schemas.openxmlformats.org/officeDocument/2006/relationships/image" Target="../media/image532.png"/><Relationship Id="rId166" Type="http://schemas.openxmlformats.org/officeDocument/2006/relationships/image" Target="../media/image533.png"/><Relationship Id="rId167" Type="http://schemas.openxmlformats.org/officeDocument/2006/relationships/image" Target="../media/image534.png"/><Relationship Id="rId168" Type="http://schemas.openxmlformats.org/officeDocument/2006/relationships/image" Target="../media/image535.png"/><Relationship Id="rId169" Type="http://schemas.openxmlformats.org/officeDocument/2006/relationships/image" Target="../media/image536.png"/><Relationship Id="rId170" Type="http://schemas.openxmlformats.org/officeDocument/2006/relationships/image" Target="../media/image537.png"/><Relationship Id="rId171" Type="http://schemas.openxmlformats.org/officeDocument/2006/relationships/image" Target="../media/image538.png"/><Relationship Id="rId172" Type="http://schemas.openxmlformats.org/officeDocument/2006/relationships/image" Target="../media/image539.png"/><Relationship Id="rId173" Type="http://schemas.openxmlformats.org/officeDocument/2006/relationships/image" Target="../media/image540.png"/><Relationship Id="rId174" Type="http://schemas.openxmlformats.org/officeDocument/2006/relationships/image" Target="../media/image541.png"/><Relationship Id="rId175" Type="http://schemas.openxmlformats.org/officeDocument/2006/relationships/image" Target="../media/image542.png"/><Relationship Id="rId176" Type="http://schemas.openxmlformats.org/officeDocument/2006/relationships/image" Target="../media/image543.png"/><Relationship Id="rId177" Type="http://schemas.openxmlformats.org/officeDocument/2006/relationships/image" Target="../media/image544.png"/><Relationship Id="rId178" Type="http://schemas.openxmlformats.org/officeDocument/2006/relationships/image" Target="../media/image545.png"/><Relationship Id="rId179" Type="http://schemas.openxmlformats.org/officeDocument/2006/relationships/image" Target="../media/image546.png"/><Relationship Id="rId180" Type="http://schemas.openxmlformats.org/officeDocument/2006/relationships/image" Target="../media/image547.png"/><Relationship Id="rId181" Type="http://schemas.openxmlformats.org/officeDocument/2006/relationships/image" Target="../media/image548.png"/><Relationship Id="rId182" Type="http://schemas.openxmlformats.org/officeDocument/2006/relationships/image" Target="../media/image549.png"/><Relationship Id="rId183" Type="http://schemas.openxmlformats.org/officeDocument/2006/relationships/image" Target="../media/image550.png"/><Relationship Id="rId184" Type="http://schemas.openxmlformats.org/officeDocument/2006/relationships/image" Target="../media/image551.png"/><Relationship Id="rId185" Type="http://schemas.openxmlformats.org/officeDocument/2006/relationships/image" Target="../media/image552.png"/><Relationship Id="rId186" Type="http://schemas.openxmlformats.org/officeDocument/2006/relationships/image" Target="../media/image553.png"/><Relationship Id="rId187" Type="http://schemas.openxmlformats.org/officeDocument/2006/relationships/image" Target="../media/image554.png"/><Relationship Id="rId188" Type="http://schemas.openxmlformats.org/officeDocument/2006/relationships/image" Target="../media/image555.png"/><Relationship Id="rId189" Type="http://schemas.openxmlformats.org/officeDocument/2006/relationships/image" Target="../media/image556.png"/><Relationship Id="rId190" Type="http://schemas.openxmlformats.org/officeDocument/2006/relationships/image" Target="../media/image557.png"/><Relationship Id="rId191" Type="http://schemas.openxmlformats.org/officeDocument/2006/relationships/image" Target="../media/image558.png"/><Relationship Id="rId192" Type="http://schemas.openxmlformats.org/officeDocument/2006/relationships/image" Target="../media/image559.png"/><Relationship Id="rId193" Type="http://schemas.openxmlformats.org/officeDocument/2006/relationships/image" Target="../media/image560.png"/><Relationship Id="rId194" Type="http://schemas.openxmlformats.org/officeDocument/2006/relationships/image" Target="../media/image561.png"/><Relationship Id="rId195" Type="http://schemas.openxmlformats.org/officeDocument/2006/relationships/image" Target="../media/image562.png"/><Relationship Id="rId196" Type="http://schemas.openxmlformats.org/officeDocument/2006/relationships/image" Target="../media/image563.png"/><Relationship Id="rId197" Type="http://schemas.openxmlformats.org/officeDocument/2006/relationships/image" Target="../media/image564.png"/><Relationship Id="rId198" Type="http://schemas.openxmlformats.org/officeDocument/2006/relationships/image" Target="../media/image565.png"/><Relationship Id="rId199" Type="http://schemas.openxmlformats.org/officeDocument/2006/relationships/image" Target="../media/image566.png"/><Relationship Id="rId200" Type="http://schemas.openxmlformats.org/officeDocument/2006/relationships/image" Target="../media/image567.png"/><Relationship Id="rId201" Type="http://schemas.openxmlformats.org/officeDocument/2006/relationships/image" Target="../media/image568.png"/><Relationship Id="rId202" Type="http://schemas.openxmlformats.org/officeDocument/2006/relationships/image" Target="../media/image569.png"/><Relationship Id="rId203" Type="http://schemas.openxmlformats.org/officeDocument/2006/relationships/image" Target="../media/image570.png"/><Relationship Id="rId204" Type="http://schemas.openxmlformats.org/officeDocument/2006/relationships/image" Target="../media/image571.png"/><Relationship Id="rId205" Type="http://schemas.openxmlformats.org/officeDocument/2006/relationships/image" Target="../media/image572.png"/><Relationship Id="rId206" Type="http://schemas.openxmlformats.org/officeDocument/2006/relationships/image" Target="../media/image573.png"/><Relationship Id="rId207" Type="http://schemas.openxmlformats.org/officeDocument/2006/relationships/image" Target="../media/image574.png"/><Relationship Id="rId208" Type="http://schemas.openxmlformats.org/officeDocument/2006/relationships/image" Target="../media/image575.png"/><Relationship Id="rId209" Type="http://schemas.openxmlformats.org/officeDocument/2006/relationships/image" Target="../media/image576.png"/><Relationship Id="rId210" Type="http://schemas.openxmlformats.org/officeDocument/2006/relationships/image" Target="../media/image577.png"/><Relationship Id="rId211" Type="http://schemas.openxmlformats.org/officeDocument/2006/relationships/image" Target="../media/image578.png"/><Relationship Id="rId212" Type="http://schemas.openxmlformats.org/officeDocument/2006/relationships/image" Target="../media/image579.png"/><Relationship Id="rId213" Type="http://schemas.openxmlformats.org/officeDocument/2006/relationships/image" Target="../media/image580.png"/><Relationship Id="rId214" Type="http://schemas.openxmlformats.org/officeDocument/2006/relationships/image" Target="../media/image581.png"/><Relationship Id="rId215" Type="http://schemas.openxmlformats.org/officeDocument/2006/relationships/image" Target="../media/image582.png"/><Relationship Id="rId216" Type="http://schemas.openxmlformats.org/officeDocument/2006/relationships/image" Target="../media/image583.png"/><Relationship Id="rId217" Type="http://schemas.openxmlformats.org/officeDocument/2006/relationships/image" Target="../media/image584.png"/><Relationship Id="rId218" Type="http://schemas.openxmlformats.org/officeDocument/2006/relationships/image" Target="../media/image585.png"/><Relationship Id="rId219" Type="http://schemas.openxmlformats.org/officeDocument/2006/relationships/image" Target="../media/image586.png"/><Relationship Id="rId220" Type="http://schemas.openxmlformats.org/officeDocument/2006/relationships/image" Target="../media/image587.png"/><Relationship Id="rId221" Type="http://schemas.openxmlformats.org/officeDocument/2006/relationships/image" Target="../media/image588.png"/><Relationship Id="rId222" Type="http://schemas.openxmlformats.org/officeDocument/2006/relationships/image" Target="../media/image589.png"/><Relationship Id="rId223" Type="http://schemas.openxmlformats.org/officeDocument/2006/relationships/image" Target="../media/image590.png"/><Relationship Id="rId224" Type="http://schemas.openxmlformats.org/officeDocument/2006/relationships/image" Target="../media/image591.png"/><Relationship Id="rId225" Type="http://schemas.openxmlformats.org/officeDocument/2006/relationships/image" Target="../media/image592.png"/><Relationship Id="rId226" Type="http://schemas.openxmlformats.org/officeDocument/2006/relationships/image" Target="../media/image593.png"/><Relationship Id="rId227" Type="http://schemas.openxmlformats.org/officeDocument/2006/relationships/image" Target="../media/image594.png"/><Relationship Id="rId228" Type="http://schemas.openxmlformats.org/officeDocument/2006/relationships/image" Target="../media/image595.png"/><Relationship Id="rId229" Type="http://schemas.openxmlformats.org/officeDocument/2006/relationships/image" Target="../media/image596.png"/><Relationship Id="rId230" Type="http://schemas.openxmlformats.org/officeDocument/2006/relationships/image" Target="../media/image597.png"/><Relationship Id="rId231" Type="http://schemas.openxmlformats.org/officeDocument/2006/relationships/image" Target="../media/image598.png"/><Relationship Id="rId232" Type="http://schemas.openxmlformats.org/officeDocument/2006/relationships/image" Target="../media/image599.png"/><Relationship Id="rId233" Type="http://schemas.openxmlformats.org/officeDocument/2006/relationships/image" Target="../media/image600.png"/><Relationship Id="rId234" Type="http://schemas.openxmlformats.org/officeDocument/2006/relationships/image" Target="../media/image601.png"/><Relationship Id="rId235" Type="http://schemas.openxmlformats.org/officeDocument/2006/relationships/image" Target="../media/image602.png"/><Relationship Id="rId236" Type="http://schemas.openxmlformats.org/officeDocument/2006/relationships/image" Target="../media/image603.png"/><Relationship Id="rId237" Type="http://schemas.openxmlformats.org/officeDocument/2006/relationships/image" Target="../media/image604.png"/><Relationship Id="rId238" Type="http://schemas.openxmlformats.org/officeDocument/2006/relationships/image" Target="../media/image605.png"/><Relationship Id="rId239" Type="http://schemas.openxmlformats.org/officeDocument/2006/relationships/image" Target="../media/image606.png"/><Relationship Id="rId240" Type="http://schemas.openxmlformats.org/officeDocument/2006/relationships/image" Target="../media/image607.png"/><Relationship Id="rId241" Type="http://schemas.openxmlformats.org/officeDocument/2006/relationships/image" Target="../media/image608.png"/><Relationship Id="rId242" Type="http://schemas.openxmlformats.org/officeDocument/2006/relationships/image" Target="../media/image609.png"/><Relationship Id="rId243" Type="http://schemas.openxmlformats.org/officeDocument/2006/relationships/image" Target="../media/image610.png"/><Relationship Id="rId244" Type="http://schemas.openxmlformats.org/officeDocument/2006/relationships/image" Target="../media/image611.png"/><Relationship Id="rId245" Type="http://schemas.openxmlformats.org/officeDocument/2006/relationships/image" Target="../media/image612.png"/><Relationship Id="rId246" Type="http://schemas.openxmlformats.org/officeDocument/2006/relationships/image" Target="../media/image613.png"/><Relationship Id="rId247" Type="http://schemas.openxmlformats.org/officeDocument/2006/relationships/image" Target="../media/image614.png"/><Relationship Id="rId248" Type="http://schemas.openxmlformats.org/officeDocument/2006/relationships/image" Target="../media/image615.png"/><Relationship Id="rId249" Type="http://schemas.openxmlformats.org/officeDocument/2006/relationships/image" Target="../media/image616.png"/><Relationship Id="rId250" Type="http://schemas.openxmlformats.org/officeDocument/2006/relationships/image" Target="../media/image617.png"/><Relationship Id="rId251" Type="http://schemas.openxmlformats.org/officeDocument/2006/relationships/image" Target="../media/image618.png"/><Relationship Id="rId252" Type="http://schemas.openxmlformats.org/officeDocument/2006/relationships/image" Target="../media/image619.png"/><Relationship Id="rId253" Type="http://schemas.openxmlformats.org/officeDocument/2006/relationships/image" Target="../media/image620.png"/><Relationship Id="rId254" Type="http://schemas.openxmlformats.org/officeDocument/2006/relationships/image" Target="../media/image621.png"/><Relationship Id="rId255" Type="http://schemas.openxmlformats.org/officeDocument/2006/relationships/image" Target="../media/image622.png"/><Relationship Id="rId256" Type="http://schemas.openxmlformats.org/officeDocument/2006/relationships/image" Target="../media/image623.png"/><Relationship Id="rId257" Type="http://schemas.openxmlformats.org/officeDocument/2006/relationships/image" Target="../media/image624.png"/><Relationship Id="rId258" Type="http://schemas.openxmlformats.org/officeDocument/2006/relationships/image" Target="../media/image625.png"/><Relationship Id="rId259" Type="http://schemas.openxmlformats.org/officeDocument/2006/relationships/image" Target="../media/image626.png"/><Relationship Id="rId260" Type="http://schemas.openxmlformats.org/officeDocument/2006/relationships/image" Target="../media/image627.png"/><Relationship Id="rId261" Type="http://schemas.openxmlformats.org/officeDocument/2006/relationships/image" Target="../media/image628.png"/><Relationship Id="rId262" Type="http://schemas.openxmlformats.org/officeDocument/2006/relationships/image" Target="../media/image629.png"/><Relationship Id="rId263" Type="http://schemas.openxmlformats.org/officeDocument/2006/relationships/image" Target="../media/image630.png"/><Relationship Id="rId264" Type="http://schemas.openxmlformats.org/officeDocument/2006/relationships/image" Target="../media/image631.png"/><Relationship Id="rId265" Type="http://schemas.openxmlformats.org/officeDocument/2006/relationships/image" Target="../media/image632.png"/><Relationship Id="rId266" Type="http://schemas.openxmlformats.org/officeDocument/2006/relationships/image" Target="../media/image633.png"/><Relationship Id="rId267" Type="http://schemas.openxmlformats.org/officeDocument/2006/relationships/image" Target="../media/image634.png"/><Relationship Id="rId268" Type="http://schemas.openxmlformats.org/officeDocument/2006/relationships/image" Target="../media/image635.png"/><Relationship Id="rId269" Type="http://schemas.openxmlformats.org/officeDocument/2006/relationships/image" Target="../media/image636.png"/><Relationship Id="rId270" Type="http://schemas.openxmlformats.org/officeDocument/2006/relationships/image" Target="../media/image637.png"/><Relationship Id="rId271" Type="http://schemas.openxmlformats.org/officeDocument/2006/relationships/image" Target="../media/image638.png"/><Relationship Id="rId272" Type="http://schemas.openxmlformats.org/officeDocument/2006/relationships/image" Target="../media/image639.png"/><Relationship Id="rId273" Type="http://schemas.openxmlformats.org/officeDocument/2006/relationships/image" Target="../media/image640.png"/><Relationship Id="rId274" Type="http://schemas.openxmlformats.org/officeDocument/2006/relationships/image" Target="../media/image641.png"/><Relationship Id="rId275" Type="http://schemas.openxmlformats.org/officeDocument/2006/relationships/image" Target="../media/image642.png"/><Relationship Id="rId276" Type="http://schemas.openxmlformats.org/officeDocument/2006/relationships/image" Target="../media/image643.png"/><Relationship Id="rId277" Type="http://schemas.openxmlformats.org/officeDocument/2006/relationships/image" Target="../media/image644.png"/><Relationship Id="rId278" Type="http://schemas.openxmlformats.org/officeDocument/2006/relationships/image" Target="../media/image645.png"/><Relationship Id="rId279" Type="http://schemas.openxmlformats.org/officeDocument/2006/relationships/image" Target="../media/image646.png"/><Relationship Id="rId280" Type="http://schemas.openxmlformats.org/officeDocument/2006/relationships/image" Target="../media/image647.png"/><Relationship Id="rId281" Type="http://schemas.openxmlformats.org/officeDocument/2006/relationships/image" Target="../media/image648.png"/><Relationship Id="rId282" Type="http://schemas.openxmlformats.org/officeDocument/2006/relationships/image" Target="../media/image649.png"/><Relationship Id="rId283" Type="http://schemas.openxmlformats.org/officeDocument/2006/relationships/image" Target="../media/image650.png"/><Relationship Id="rId284" Type="http://schemas.openxmlformats.org/officeDocument/2006/relationships/image" Target="../media/image651.png"/><Relationship Id="rId285" Type="http://schemas.openxmlformats.org/officeDocument/2006/relationships/image" Target="../media/image652.png"/><Relationship Id="rId286" Type="http://schemas.openxmlformats.org/officeDocument/2006/relationships/image" Target="../media/image653.png"/><Relationship Id="rId287" Type="http://schemas.openxmlformats.org/officeDocument/2006/relationships/image" Target="../media/image654.png"/><Relationship Id="rId288" Type="http://schemas.openxmlformats.org/officeDocument/2006/relationships/image" Target="../media/image655.png"/><Relationship Id="rId289" Type="http://schemas.openxmlformats.org/officeDocument/2006/relationships/image" Target="../media/image656.png"/><Relationship Id="rId290" Type="http://schemas.openxmlformats.org/officeDocument/2006/relationships/image" Target="../media/image657.png"/><Relationship Id="rId291" Type="http://schemas.openxmlformats.org/officeDocument/2006/relationships/image" Target="../media/image658.png"/><Relationship Id="rId292" Type="http://schemas.openxmlformats.org/officeDocument/2006/relationships/image" Target="../media/image659.png"/><Relationship Id="rId293" Type="http://schemas.openxmlformats.org/officeDocument/2006/relationships/image" Target="../media/image660.png"/><Relationship Id="rId294" Type="http://schemas.openxmlformats.org/officeDocument/2006/relationships/image" Target="../media/image661.png"/><Relationship Id="rId295" Type="http://schemas.openxmlformats.org/officeDocument/2006/relationships/image" Target="../media/image662.png"/><Relationship Id="rId296" Type="http://schemas.openxmlformats.org/officeDocument/2006/relationships/image" Target="../media/image663.png"/><Relationship Id="rId297" Type="http://schemas.openxmlformats.org/officeDocument/2006/relationships/image" Target="../media/image664.png"/><Relationship Id="rId298" Type="http://schemas.openxmlformats.org/officeDocument/2006/relationships/image" Target="../media/image665.png"/><Relationship Id="rId299" Type="http://schemas.openxmlformats.org/officeDocument/2006/relationships/image" Target="../media/image666.png"/><Relationship Id="rId300" Type="http://schemas.openxmlformats.org/officeDocument/2006/relationships/image" Target="../media/image667.png"/><Relationship Id="rId301" Type="http://schemas.openxmlformats.org/officeDocument/2006/relationships/image" Target="../media/image668.png"/><Relationship Id="rId302" Type="http://schemas.openxmlformats.org/officeDocument/2006/relationships/image" Target="../media/image669.png"/><Relationship Id="rId303" Type="http://schemas.openxmlformats.org/officeDocument/2006/relationships/image" Target="../media/image670.png"/><Relationship Id="rId304" Type="http://schemas.openxmlformats.org/officeDocument/2006/relationships/image" Target="../media/image671.png"/><Relationship Id="rId305" Type="http://schemas.openxmlformats.org/officeDocument/2006/relationships/image" Target="../media/image672.png"/><Relationship Id="rId306" Type="http://schemas.openxmlformats.org/officeDocument/2006/relationships/image" Target="../media/image673.png"/><Relationship Id="rId307" Type="http://schemas.openxmlformats.org/officeDocument/2006/relationships/image" Target="../media/image674.png"/><Relationship Id="rId308" Type="http://schemas.openxmlformats.org/officeDocument/2006/relationships/image" Target="../media/image675.png"/><Relationship Id="rId309" Type="http://schemas.openxmlformats.org/officeDocument/2006/relationships/image" Target="../media/image676.png"/><Relationship Id="rId310" Type="http://schemas.openxmlformats.org/officeDocument/2006/relationships/image" Target="../media/image677.png"/><Relationship Id="rId311" Type="http://schemas.openxmlformats.org/officeDocument/2006/relationships/image" Target="../media/image678.png"/><Relationship Id="rId312" Type="http://schemas.openxmlformats.org/officeDocument/2006/relationships/image" Target="../media/image679.png"/><Relationship Id="rId313" Type="http://schemas.openxmlformats.org/officeDocument/2006/relationships/image" Target="../media/image680.png"/><Relationship Id="rId314" Type="http://schemas.openxmlformats.org/officeDocument/2006/relationships/image" Target="../media/image681.png"/><Relationship Id="rId315" Type="http://schemas.openxmlformats.org/officeDocument/2006/relationships/image" Target="../media/image682.png"/><Relationship Id="rId316" Type="http://schemas.openxmlformats.org/officeDocument/2006/relationships/image" Target="../media/image683.png"/><Relationship Id="rId317" Type="http://schemas.openxmlformats.org/officeDocument/2006/relationships/image" Target="../media/image684.png"/><Relationship Id="rId318" Type="http://schemas.openxmlformats.org/officeDocument/2006/relationships/image" Target="../media/image685.png"/><Relationship Id="rId319" Type="http://schemas.openxmlformats.org/officeDocument/2006/relationships/image" Target="../media/image686.png"/><Relationship Id="rId320" Type="http://schemas.openxmlformats.org/officeDocument/2006/relationships/image" Target="../media/image687.png"/><Relationship Id="rId321" Type="http://schemas.openxmlformats.org/officeDocument/2006/relationships/image" Target="../media/image688.png"/><Relationship Id="rId322" Type="http://schemas.openxmlformats.org/officeDocument/2006/relationships/image" Target="../media/image689.png"/><Relationship Id="rId323" Type="http://schemas.openxmlformats.org/officeDocument/2006/relationships/image" Target="../media/image690.png"/><Relationship Id="rId324" Type="http://schemas.openxmlformats.org/officeDocument/2006/relationships/image" Target="../media/image691.png"/><Relationship Id="rId325" Type="http://schemas.openxmlformats.org/officeDocument/2006/relationships/image" Target="../media/image692.png"/><Relationship Id="rId326" Type="http://schemas.openxmlformats.org/officeDocument/2006/relationships/image" Target="../media/image693.png"/><Relationship Id="rId327" Type="http://schemas.openxmlformats.org/officeDocument/2006/relationships/image" Target="../media/image694.png"/><Relationship Id="rId328" Type="http://schemas.openxmlformats.org/officeDocument/2006/relationships/image" Target="../media/image695.png"/><Relationship Id="rId329" Type="http://schemas.openxmlformats.org/officeDocument/2006/relationships/image" Target="../media/image696.png"/><Relationship Id="rId330" Type="http://schemas.openxmlformats.org/officeDocument/2006/relationships/image" Target="../media/image697.png"/><Relationship Id="rId331" Type="http://schemas.openxmlformats.org/officeDocument/2006/relationships/image" Target="../media/image698.png"/><Relationship Id="rId332" Type="http://schemas.openxmlformats.org/officeDocument/2006/relationships/image" Target="../media/image699.png"/><Relationship Id="rId333" Type="http://schemas.openxmlformats.org/officeDocument/2006/relationships/image" Target="../media/image700.png"/><Relationship Id="rId334" Type="http://schemas.openxmlformats.org/officeDocument/2006/relationships/image" Target="../media/image701.png"/><Relationship Id="rId335" Type="http://schemas.openxmlformats.org/officeDocument/2006/relationships/image" Target="../media/image702.png"/><Relationship Id="rId336" Type="http://schemas.openxmlformats.org/officeDocument/2006/relationships/image" Target="../media/image703.png"/><Relationship Id="rId337" Type="http://schemas.openxmlformats.org/officeDocument/2006/relationships/image" Target="../media/image704.png"/><Relationship Id="rId338" Type="http://schemas.openxmlformats.org/officeDocument/2006/relationships/image" Target="../media/image705.png"/><Relationship Id="rId339" Type="http://schemas.openxmlformats.org/officeDocument/2006/relationships/image" Target="../media/image706.png"/><Relationship Id="rId340" Type="http://schemas.openxmlformats.org/officeDocument/2006/relationships/image" Target="../media/image707.png"/><Relationship Id="rId341" Type="http://schemas.openxmlformats.org/officeDocument/2006/relationships/image" Target="../media/image708.png"/><Relationship Id="rId342" Type="http://schemas.openxmlformats.org/officeDocument/2006/relationships/image" Target="../media/image709.png"/><Relationship Id="rId343" Type="http://schemas.openxmlformats.org/officeDocument/2006/relationships/image" Target="../media/image710.png"/><Relationship Id="rId344" Type="http://schemas.openxmlformats.org/officeDocument/2006/relationships/image" Target="../media/image711.png"/><Relationship Id="rId345" Type="http://schemas.openxmlformats.org/officeDocument/2006/relationships/image" Target="../media/image712.png"/><Relationship Id="rId346" Type="http://schemas.openxmlformats.org/officeDocument/2006/relationships/image" Target="../media/image713.png"/><Relationship Id="rId347" Type="http://schemas.openxmlformats.org/officeDocument/2006/relationships/image" Target="../media/image714.png"/><Relationship Id="rId348" Type="http://schemas.openxmlformats.org/officeDocument/2006/relationships/image" Target="../media/image715.png"/><Relationship Id="rId349" Type="http://schemas.openxmlformats.org/officeDocument/2006/relationships/image" Target="../media/image716.png"/><Relationship Id="rId350" Type="http://schemas.openxmlformats.org/officeDocument/2006/relationships/image" Target="../media/image717.png"/><Relationship Id="rId351" Type="http://schemas.openxmlformats.org/officeDocument/2006/relationships/image" Target="../media/image718.png"/><Relationship Id="rId352" Type="http://schemas.openxmlformats.org/officeDocument/2006/relationships/image" Target="../media/image719.png"/><Relationship Id="rId353" Type="http://schemas.openxmlformats.org/officeDocument/2006/relationships/image" Target="../media/image720.png"/><Relationship Id="rId354" Type="http://schemas.openxmlformats.org/officeDocument/2006/relationships/image" Target="../media/image721.png"/><Relationship Id="rId355" Type="http://schemas.openxmlformats.org/officeDocument/2006/relationships/image" Target="../media/image722.png"/><Relationship Id="rId356" Type="http://schemas.openxmlformats.org/officeDocument/2006/relationships/image" Target="../media/image723.png"/><Relationship Id="rId357" Type="http://schemas.openxmlformats.org/officeDocument/2006/relationships/image" Target="../media/image724.png"/><Relationship Id="rId358" Type="http://schemas.openxmlformats.org/officeDocument/2006/relationships/image" Target="../media/image725.png"/><Relationship Id="rId359" Type="http://schemas.openxmlformats.org/officeDocument/2006/relationships/image" Target="../media/image726.png"/><Relationship Id="rId360" Type="http://schemas.openxmlformats.org/officeDocument/2006/relationships/image" Target="../media/image727.png"/><Relationship Id="rId361" Type="http://schemas.openxmlformats.org/officeDocument/2006/relationships/image" Target="../media/image728.png"/><Relationship Id="rId362" Type="http://schemas.openxmlformats.org/officeDocument/2006/relationships/image" Target="../media/image729.png"/><Relationship Id="rId363" Type="http://schemas.openxmlformats.org/officeDocument/2006/relationships/image" Target="../media/image730.png"/><Relationship Id="rId364" Type="http://schemas.openxmlformats.org/officeDocument/2006/relationships/image" Target="../media/image731.png"/><Relationship Id="rId365" Type="http://schemas.openxmlformats.org/officeDocument/2006/relationships/image" Target="../media/image732.png"/><Relationship Id="rId366" Type="http://schemas.openxmlformats.org/officeDocument/2006/relationships/image" Target="../media/image733.png"/><Relationship Id="rId367" Type="http://schemas.openxmlformats.org/officeDocument/2006/relationships/image" Target="../media/image734.png"/><Relationship Id="rId368" Type="http://schemas.openxmlformats.org/officeDocument/2006/relationships/image" Target="../media/image735.png"/><Relationship Id="rId369" Type="http://schemas.openxmlformats.org/officeDocument/2006/relationships/image" Target="../media/image736.png"/><Relationship Id="rId370" Type="http://schemas.openxmlformats.org/officeDocument/2006/relationships/image" Target="../media/image737.png"/><Relationship Id="rId371" Type="http://schemas.openxmlformats.org/officeDocument/2006/relationships/image" Target="../media/image738.png"/><Relationship Id="rId372" Type="http://schemas.openxmlformats.org/officeDocument/2006/relationships/image" Target="../media/image739.png"/><Relationship Id="rId373" Type="http://schemas.openxmlformats.org/officeDocument/2006/relationships/image" Target="../media/image740.png"/><Relationship Id="rId374" Type="http://schemas.openxmlformats.org/officeDocument/2006/relationships/image" Target="../media/image741.png"/><Relationship Id="rId375" Type="http://schemas.openxmlformats.org/officeDocument/2006/relationships/image" Target="../media/image742.png"/><Relationship Id="rId376" Type="http://schemas.openxmlformats.org/officeDocument/2006/relationships/image" Target="../media/image743.png"/><Relationship Id="rId377" Type="http://schemas.openxmlformats.org/officeDocument/2006/relationships/image" Target="../media/image744.png"/><Relationship Id="rId378" Type="http://schemas.openxmlformats.org/officeDocument/2006/relationships/image" Target="../media/image745.png"/><Relationship Id="rId379" Type="http://schemas.openxmlformats.org/officeDocument/2006/relationships/image" Target="../media/image746.png"/><Relationship Id="rId380" Type="http://schemas.openxmlformats.org/officeDocument/2006/relationships/image" Target="../media/image747.png"/><Relationship Id="rId381" Type="http://schemas.openxmlformats.org/officeDocument/2006/relationships/image" Target="../media/image748.png"/><Relationship Id="rId382" Type="http://schemas.openxmlformats.org/officeDocument/2006/relationships/image" Target="../media/image749.png"/><Relationship Id="rId383" Type="http://schemas.openxmlformats.org/officeDocument/2006/relationships/image" Target="../media/image750.png"/><Relationship Id="rId384" Type="http://schemas.openxmlformats.org/officeDocument/2006/relationships/image" Target="../media/image751.png"/><Relationship Id="rId385" Type="http://schemas.openxmlformats.org/officeDocument/2006/relationships/image" Target="../media/image752.png"/><Relationship Id="rId386" Type="http://schemas.openxmlformats.org/officeDocument/2006/relationships/image" Target="../media/image75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757.png"/><Relationship Id="rId4" Type="http://schemas.openxmlformats.org/officeDocument/2006/relationships/image" Target="../media/image758.png"/><Relationship Id="rId5" Type="http://schemas.openxmlformats.org/officeDocument/2006/relationships/image" Target="../media/image759.png"/><Relationship Id="rId6" Type="http://schemas.openxmlformats.org/officeDocument/2006/relationships/image" Target="../media/image760.png"/><Relationship Id="rId7" Type="http://schemas.openxmlformats.org/officeDocument/2006/relationships/image" Target="../media/image761.png"/><Relationship Id="rId8" Type="http://schemas.openxmlformats.org/officeDocument/2006/relationships/image" Target="../media/image762.png"/><Relationship Id="rId9" Type="http://schemas.openxmlformats.org/officeDocument/2006/relationships/image" Target="../media/image763.png"/><Relationship Id="rId10" Type="http://schemas.openxmlformats.org/officeDocument/2006/relationships/image" Target="../media/image764.png"/><Relationship Id="rId11" Type="http://schemas.openxmlformats.org/officeDocument/2006/relationships/image" Target="../media/image765.png"/><Relationship Id="rId12" Type="http://schemas.openxmlformats.org/officeDocument/2006/relationships/image" Target="../media/image766.png"/><Relationship Id="rId13" Type="http://schemas.openxmlformats.org/officeDocument/2006/relationships/image" Target="../media/image767.png"/><Relationship Id="rId14" Type="http://schemas.openxmlformats.org/officeDocument/2006/relationships/image" Target="../media/image768.png"/><Relationship Id="rId15" Type="http://schemas.openxmlformats.org/officeDocument/2006/relationships/image" Target="../media/image769.png"/><Relationship Id="rId16" Type="http://schemas.openxmlformats.org/officeDocument/2006/relationships/image" Target="../media/image770.png"/><Relationship Id="rId17" Type="http://schemas.openxmlformats.org/officeDocument/2006/relationships/image" Target="../media/image771.png"/><Relationship Id="rId18" Type="http://schemas.openxmlformats.org/officeDocument/2006/relationships/image" Target="../media/image772.png"/><Relationship Id="rId19" Type="http://schemas.openxmlformats.org/officeDocument/2006/relationships/image" Target="../media/image773.png"/><Relationship Id="rId20" Type="http://schemas.openxmlformats.org/officeDocument/2006/relationships/image" Target="../media/image774.png"/><Relationship Id="rId21" Type="http://schemas.openxmlformats.org/officeDocument/2006/relationships/image" Target="../media/image775.png"/><Relationship Id="rId22" Type="http://schemas.openxmlformats.org/officeDocument/2006/relationships/image" Target="../media/image776.png"/><Relationship Id="rId23" Type="http://schemas.openxmlformats.org/officeDocument/2006/relationships/image" Target="../media/image777.png"/><Relationship Id="rId24" Type="http://schemas.openxmlformats.org/officeDocument/2006/relationships/image" Target="../media/image778.png"/><Relationship Id="rId25" Type="http://schemas.openxmlformats.org/officeDocument/2006/relationships/image" Target="../media/image779.png"/><Relationship Id="rId26" Type="http://schemas.openxmlformats.org/officeDocument/2006/relationships/image" Target="../media/image780.png"/><Relationship Id="rId27" Type="http://schemas.openxmlformats.org/officeDocument/2006/relationships/image" Target="../media/image781.png"/><Relationship Id="rId28" Type="http://schemas.openxmlformats.org/officeDocument/2006/relationships/image" Target="../media/image782.png"/><Relationship Id="rId29" Type="http://schemas.openxmlformats.org/officeDocument/2006/relationships/image" Target="../media/image783.png"/><Relationship Id="rId30" Type="http://schemas.openxmlformats.org/officeDocument/2006/relationships/image" Target="../media/image784.png"/><Relationship Id="rId31" Type="http://schemas.openxmlformats.org/officeDocument/2006/relationships/image" Target="../media/image785.png"/><Relationship Id="rId32" Type="http://schemas.openxmlformats.org/officeDocument/2006/relationships/image" Target="../media/image786.png"/><Relationship Id="rId33" Type="http://schemas.openxmlformats.org/officeDocument/2006/relationships/image" Target="../media/image787.png"/><Relationship Id="rId34" Type="http://schemas.openxmlformats.org/officeDocument/2006/relationships/image" Target="../media/image788.png"/><Relationship Id="rId35" Type="http://schemas.openxmlformats.org/officeDocument/2006/relationships/image" Target="../media/image789.png"/><Relationship Id="rId36" Type="http://schemas.openxmlformats.org/officeDocument/2006/relationships/image" Target="../media/image790.png"/><Relationship Id="rId37" Type="http://schemas.openxmlformats.org/officeDocument/2006/relationships/image" Target="../media/image791.png"/><Relationship Id="rId38" Type="http://schemas.openxmlformats.org/officeDocument/2006/relationships/image" Target="../media/image792.png"/><Relationship Id="rId39" Type="http://schemas.openxmlformats.org/officeDocument/2006/relationships/image" Target="../media/image793.png"/><Relationship Id="rId40" Type="http://schemas.openxmlformats.org/officeDocument/2006/relationships/image" Target="../media/image794.png"/><Relationship Id="rId41" Type="http://schemas.openxmlformats.org/officeDocument/2006/relationships/image" Target="../media/image795.png"/><Relationship Id="rId42" Type="http://schemas.openxmlformats.org/officeDocument/2006/relationships/image" Target="../media/image796.png"/><Relationship Id="rId43" Type="http://schemas.openxmlformats.org/officeDocument/2006/relationships/image" Target="../media/image797.png"/><Relationship Id="rId44" Type="http://schemas.openxmlformats.org/officeDocument/2006/relationships/image" Target="../media/image798.png"/><Relationship Id="rId45" Type="http://schemas.openxmlformats.org/officeDocument/2006/relationships/image" Target="../media/image799.png"/><Relationship Id="rId46" Type="http://schemas.openxmlformats.org/officeDocument/2006/relationships/image" Target="../media/image800.png"/><Relationship Id="rId47" Type="http://schemas.openxmlformats.org/officeDocument/2006/relationships/image" Target="../media/image801.png"/><Relationship Id="rId48" Type="http://schemas.openxmlformats.org/officeDocument/2006/relationships/image" Target="../media/image802.png"/><Relationship Id="rId49" Type="http://schemas.openxmlformats.org/officeDocument/2006/relationships/image" Target="../media/image803.png"/><Relationship Id="rId50" Type="http://schemas.openxmlformats.org/officeDocument/2006/relationships/image" Target="../media/image804.png"/><Relationship Id="rId51" Type="http://schemas.openxmlformats.org/officeDocument/2006/relationships/image" Target="../media/image805.png"/><Relationship Id="rId52" Type="http://schemas.openxmlformats.org/officeDocument/2006/relationships/image" Target="../media/image806.png"/><Relationship Id="rId53" Type="http://schemas.openxmlformats.org/officeDocument/2006/relationships/image" Target="../media/image807.png"/><Relationship Id="rId54" Type="http://schemas.openxmlformats.org/officeDocument/2006/relationships/image" Target="../media/image808.png"/><Relationship Id="rId55" Type="http://schemas.openxmlformats.org/officeDocument/2006/relationships/image" Target="../media/image809.png"/><Relationship Id="rId56" Type="http://schemas.openxmlformats.org/officeDocument/2006/relationships/image" Target="../media/image810.png"/><Relationship Id="rId57" Type="http://schemas.openxmlformats.org/officeDocument/2006/relationships/image" Target="../media/image811.png"/><Relationship Id="rId58" Type="http://schemas.openxmlformats.org/officeDocument/2006/relationships/image" Target="../media/image812.png"/><Relationship Id="rId59" Type="http://schemas.openxmlformats.org/officeDocument/2006/relationships/image" Target="../media/image813.png"/><Relationship Id="rId60" Type="http://schemas.openxmlformats.org/officeDocument/2006/relationships/image" Target="../media/image814.png"/><Relationship Id="rId61" Type="http://schemas.openxmlformats.org/officeDocument/2006/relationships/image" Target="../media/image815.png"/><Relationship Id="rId62" Type="http://schemas.openxmlformats.org/officeDocument/2006/relationships/image" Target="../media/image816.png"/><Relationship Id="rId63" Type="http://schemas.openxmlformats.org/officeDocument/2006/relationships/image" Target="../media/image817.png"/><Relationship Id="rId64" Type="http://schemas.openxmlformats.org/officeDocument/2006/relationships/image" Target="../media/image818.png"/><Relationship Id="rId65" Type="http://schemas.openxmlformats.org/officeDocument/2006/relationships/image" Target="../media/image819.png"/><Relationship Id="rId66" Type="http://schemas.openxmlformats.org/officeDocument/2006/relationships/image" Target="../media/image820.png"/><Relationship Id="rId67" Type="http://schemas.openxmlformats.org/officeDocument/2006/relationships/image" Target="../media/image821.png"/><Relationship Id="rId68" Type="http://schemas.openxmlformats.org/officeDocument/2006/relationships/image" Target="../media/image822.png"/><Relationship Id="rId69" Type="http://schemas.openxmlformats.org/officeDocument/2006/relationships/image" Target="../media/image823.png"/><Relationship Id="rId70" Type="http://schemas.openxmlformats.org/officeDocument/2006/relationships/image" Target="../media/image824.png"/><Relationship Id="rId71" Type="http://schemas.openxmlformats.org/officeDocument/2006/relationships/image" Target="../media/image825.png"/><Relationship Id="rId72" Type="http://schemas.openxmlformats.org/officeDocument/2006/relationships/image" Target="../media/image826.png"/><Relationship Id="rId73" Type="http://schemas.openxmlformats.org/officeDocument/2006/relationships/image" Target="../media/image827.png"/><Relationship Id="rId74" Type="http://schemas.openxmlformats.org/officeDocument/2006/relationships/image" Target="../media/image828.png"/><Relationship Id="rId75" Type="http://schemas.openxmlformats.org/officeDocument/2006/relationships/image" Target="../media/image829.png"/><Relationship Id="rId76" Type="http://schemas.openxmlformats.org/officeDocument/2006/relationships/image" Target="../media/image830.png"/><Relationship Id="rId77" Type="http://schemas.openxmlformats.org/officeDocument/2006/relationships/image" Target="../media/image831.png"/><Relationship Id="rId78" Type="http://schemas.openxmlformats.org/officeDocument/2006/relationships/image" Target="../media/image832.png"/><Relationship Id="rId79" Type="http://schemas.openxmlformats.org/officeDocument/2006/relationships/image" Target="../media/image833.png"/><Relationship Id="rId80" Type="http://schemas.openxmlformats.org/officeDocument/2006/relationships/image" Target="../media/image834.png"/><Relationship Id="rId81" Type="http://schemas.openxmlformats.org/officeDocument/2006/relationships/image" Target="../media/image835.png"/><Relationship Id="rId82" Type="http://schemas.openxmlformats.org/officeDocument/2006/relationships/image" Target="../media/image836.png"/><Relationship Id="rId83" Type="http://schemas.openxmlformats.org/officeDocument/2006/relationships/image" Target="../media/image837.png"/><Relationship Id="rId84" Type="http://schemas.openxmlformats.org/officeDocument/2006/relationships/image" Target="../media/image838.png"/><Relationship Id="rId85" Type="http://schemas.openxmlformats.org/officeDocument/2006/relationships/image" Target="../media/image839.png"/><Relationship Id="rId86" Type="http://schemas.openxmlformats.org/officeDocument/2006/relationships/image" Target="../media/image840.png"/><Relationship Id="rId87" Type="http://schemas.openxmlformats.org/officeDocument/2006/relationships/image" Target="../media/image841.png"/><Relationship Id="rId88" Type="http://schemas.openxmlformats.org/officeDocument/2006/relationships/image" Target="../media/image842.png"/><Relationship Id="rId89" Type="http://schemas.openxmlformats.org/officeDocument/2006/relationships/image" Target="../media/image843.png"/><Relationship Id="rId90" Type="http://schemas.openxmlformats.org/officeDocument/2006/relationships/image" Target="../media/image844.png"/><Relationship Id="rId91" Type="http://schemas.openxmlformats.org/officeDocument/2006/relationships/image" Target="../media/image845.png"/><Relationship Id="rId92" Type="http://schemas.openxmlformats.org/officeDocument/2006/relationships/image" Target="../media/image846.png"/><Relationship Id="rId93" Type="http://schemas.openxmlformats.org/officeDocument/2006/relationships/image" Target="../media/image847.png"/><Relationship Id="rId94" Type="http://schemas.openxmlformats.org/officeDocument/2006/relationships/image" Target="../media/image848.png"/><Relationship Id="rId95" Type="http://schemas.openxmlformats.org/officeDocument/2006/relationships/image" Target="../media/image849.png"/><Relationship Id="rId96" Type="http://schemas.openxmlformats.org/officeDocument/2006/relationships/image" Target="../media/image850.png"/><Relationship Id="rId97" Type="http://schemas.openxmlformats.org/officeDocument/2006/relationships/image" Target="../media/image851.png"/><Relationship Id="rId98" Type="http://schemas.openxmlformats.org/officeDocument/2006/relationships/image" Target="../media/image852.png"/><Relationship Id="rId99" Type="http://schemas.openxmlformats.org/officeDocument/2006/relationships/image" Target="../media/image853.png"/><Relationship Id="rId100" Type="http://schemas.openxmlformats.org/officeDocument/2006/relationships/image" Target="../media/image854.png"/><Relationship Id="rId101" Type="http://schemas.openxmlformats.org/officeDocument/2006/relationships/image" Target="../media/image855.png"/><Relationship Id="rId102" Type="http://schemas.openxmlformats.org/officeDocument/2006/relationships/image" Target="../media/image856.png"/><Relationship Id="rId103" Type="http://schemas.openxmlformats.org/officeDocument/2006/relationships/image" Target="../media/image857.png"/><Relationship Id="rId104" Type="http://schemas.openxmlformats.org/officeDocument/2006/relationships/image" Target="../media/image858.png"/><Relationship Id="rId105" Type="http://schemas.openxmlformats.org/officeDocument/2006/relationships/image" Target="../media/image859.png"/><Relationship Id="rId106" Type="http://schemas.openxmlformats.org/officeDocument/2006/relationships/image" Target="../media/image860.png"/><Relationship Id="rId107" Type="http://schemas.openxmlformats.org/officeDocument/2006/relationships/image" Target="../media/image861.png"/><Relationship Id="rId108" Type="http://schemas.openxmlformats.org/officeDocument/2006/relationships/image" Target="../media/image862.png"/><Relationship Id="rId109" Type="http://schemas.openxmlformats.org/officeDocument/2006/relationships/image" Target="../media/image863.png"/><Relationship Id="rId110" Type="http://schemas.openxmlformats.org/officeDocument/2006/relationships/image" Target="../media/image864.png"/><Relationship Id="rId111" Type="http://schemas.openxmlformats.org/officeDocument/2006/relationships/image" Target="../media/image865.png"/><Relationship Id="rId112" Type="http://schemas.openxmlformats.org/officeDocument/2006/relationships/image" Target="../media/image866.png"/><Relationship Id="rId113" Type="http://schemas.openxmlformats.org/officeDocument/2006/relationships/image" Target="../media/image867.png"/><Relationship Id="rId114" Type="http://schemas.openxmlformats.org/officeDocument/2006/relationships/image" Target="../media/image868.png"/><Relationship Id="rId115" Type="http://schemas.openxmlformats.org/officeDocument/2006/relationships/image" Target="../media/image869.png"/><Relationship Id="rId116" Type="http://schemas.openxmlformats.org/officeDocument/2006/relationships/image" Target="../media/image870.png"/><Relationship Id="rId117" Type="http://schemas.openxmlformats.org/officeDocument/2006/relationships/image" Target="../media/image871.png"/><Relationship Id="rId118" Type="http://schemas.openxmlformats.org/officeDocument/2006/relationships/image" Target="../media/image872.png"/><Relationship Id="rId119" Type="http://schemas.openxmlformats.org/officeDocument/2006/relationships/image" Target="../media/image873.png"/><Relationship Id="rId120" Type="http://schemas.openxmlformats.org/officeDocument/2006/relationships/image" Target="../media/image874.png"/><Relationship Id="rId121" Type="http://schemas.openxmlformats.org/officeDocument/2006/relationships/image" Target="../media/image875.png"/><Relationship Id="rId122" Type="http://schemas.openxmlformats.org/officeDocument/2006/relationships/image" Target="../media/image876.png"/><Relationship Id="rId123" Type="http://schemas.openxmlformats.org/officeDocument/2006/relationships/image" Target="../media/image877.png"/><Relationship Id="rId124" Type="http://schemas.openxmlformats.org/officeDocument/2006/relationships/image" Target="../media/image878.png"/><Relationship Id="rId125" Type="http://schemas.openxmlformats.org/officeDocument/2006/relationships/image" Target="../media/image879.png"/><Relationship Id="rId126" Type="http://schemas.openxmlformats.org/officeDocument/2006/relationships/image" Target="../media/image880.png"/><Relationship Id="rId127" Type="http://schemas.openxmlformats.org/officeDocument/2006/relationships/image" Target="../media/image881.png"/><Relationship Id="rId128" Type="http://schemas.openxmlformats.org/officeDocument/2006/relationships/image" Target="../media/image882.png"/><Relationship Id="rId129" Type="http://schemas.openxmlformats.org/officeDocument/2006/relationships/image" Target="../media/image883.png"/><Relationship Id="rId130" Type="http://schemas.openxmlformats.org/officeDocument/2006/relationships/image" Target="../media/image884.png"/><Relationship Id="rId131" Type="http://schemas.openxmlformats.org/officeDocument/2006/relationships/image" Target="../media/image885.png"/><Relationship Id="rId132" Type="http://schemas.openxmlformats.org/officeDocument/2006/relationships/image" Target="../media/image886.png"/><Relationship Id="rId133" Type="http://schemas.openxmlformats.org/officeDocument/2006/relationships/image" Target="../media/image887.png"/><Relationship Id="rId134" Type="http://schemas.openxmlformats.org/officeDocument/2006/relationships/image" Target="../media/image888.png"/><Relationship Id="rId135" Type="http://schemas.openxmlformats.org/officeDocument/2006/relationships/image" Target="../media/image889.png"/><Relationship Id="rId136" Type="http://schemas.openxmlformats.org/officeDocument/2006/relationships/image" Target="../media/image890.png"/><Relationship Id="rId137" Type="http://schemas.openxmlformats.org/officeDocument/2006/relationships/image" Target="../media/image891.png"/><Relationship Id="rId138" Type="http://schemas.openxmlformats.org/officeDocument/2006/relationships/image" Target="../media/image892.png"/><Relationship Id="rId139" Type="http://schemas.openxmlformats.org/officeDocument/2006/relationships/image" Target="../media/image893.png"/><Relationship Id="rId140" Type="http://schemas.openxmlformats.org/officeDocument/2006/relationships/image" Target="../media/image894.png"/><Relationship Id="rId141" Type="http://schemas.openxmlformats.org/officeDocument/2006/relationships/image" Target="../media/image895.png"/><Relationship Id="rId142" Type="http://schemas.openxmlformats.org/officeDocument/2006/relationships/image" Target="../media/image896.png"/><Relationship Id="rId143" Type="http://schemas.openxmlformats.org/officeDocument/2006/relationships/image" Target="../media/image897.png"/><Relationship Id="rId144" Type="http://schemas.openxmlformats.org/officeDocument/2006/relationships/image" Target="../media/image898.png"/><Relationship Id="rId145" Type="http://schemas.openxmlformats.org/officeDocument/2006/relationships/image" Target="../media/image899.png"/><Relationship Id="rId146" Type="http://schemas.openxmlformats.org/officeDocument/2006/relationships/image" Target="../media/image900.png"/><Relationship Id="rId147" Type="http://schemas.openxmlformats.org/officeDocument/2006/relationships/image" Target="../media/image901.png"/><Relationship Id="rId148" Type="http://schemas.openxmlformats.org/officeDocument/2006/relationships/image" Target="../media/image902.png"/><Relationship Id="rId149" Type="http://schemas.openxmlformats.org/officeDocument/2006/relationships/image" Target="../media/image903.png"/><Relationship Id="rId150" Type="http://schemas.openxmlformats.org/officeDocument/2006/relationships/image" Target="../media/image904.png"/><Relationship Id="rId151" Type="http://schemas.openxmlformats.org/officeDocument/2006/relationships/image" Target="../media/image905.png"/><Relationship Id="rId152" Type="http://schemas.openxmlformats.org/officeDocument/2006/relationships/image" Target="../media/image906.png"/><Relationship Id="rId153" Type="http://schemas.openxmlformats.org/officeDocument/2006/relationships/image" Target="../media/image907.png"/><Relationship Id="rId154" Type="http://schemas.openxmlformats.org/officeDocument/2006/relationships/image" Target="../media/image908.png"/><Relationship Id="rId155" Type="http://schemas.openxmlformats.org/officeDocument/2006/relationships/image" Target="../media/image909.png"/><Relationship Id="rId156" Type="http://schemas.openxmlformats.org/officeDocument/2006/relationships/image" Target="../media/image910.png"/><Relationship Id="rId157" Type="http://schemas.openxmlformats.org/officeDocument/2006/relationships/image" Target="../media/image911.png"/><Relationship Id="rId158" Type="http://schemas.openxmlformats.org/officeDocument/2006/relationships/image" Target="../media/image912.png"/><Relationship Id="rId159" Type="http://schemas.openxmlformats.org/officeDocument/2006/relationships/image" Target="../media/image913.png"/><Relationship Id="rId160" Type="http://schemas.openxmlformats.org/officeDocument/2006/relationships/image" Target="../media/image914.png"/><Relationship Id="rId161" Type="http://schemas.openxmlformats.org/officeDocument/2006/relationships/image" Target="../media/image915.png"/><Relationship Id="rId162" Type="http://schemas.openxmlformats.org/officeDocument/2006/relationships/image" Target="../media/image916.png"/><Relationship Id="rId163" Type="http://schemas.openxmlformats.org/officeDocument/2006/relationships/image" Target="../media/image917.png"/><Relationship Id="rId164" Type="http://schemas.openxmlformats.org/officeDocument/2006/relationships/image" Target="../media/image918.png"/><Relationship Id="rId165" Type="http://schemas.openxmlformats.org/officeDocument/2006/relationships/image" Target="../media/image919.png"/><Relationship Id="rId166" Type="http://schemas.openxmlformats.org/officeDocument/2006/relationships/image" Target="../media/image920.png"/><Relationship Id="rId167" Type="http://schemas.openxmlformats.org/officeDocument/2006/relationships/image" Target="../media/image921.png"/><Relationship Id="rId168" Type="http://schemas.openxmlformats.org/officeDocument/2006/relationships/image" Target="../media/image922.png"/><Relationship Id="rId169" Type="http://schemas.openxmlformats.org/officeDocument/2006/relationships/image" Target="../media/image923.png"/><Relationship Id="rId170" Type="http://schemas.openxmlformats.org/officeDocument/2006/relationships/image" Target="../media/image924.png"/><Relationship Id="rId171" Type="http://schemas.openxmlformats.org/officeDocument/2006/relationships/image" Target="../media/image925.png"/><Relationship Id="rId172" Type="http://schemas.openxmlformats.org/officeDocument/2006/relationships/image" Target="../media/image926.png"/><Relationship Id="rId173" Type="http://schemas.openxmlformats.org/officeDocument/2006/relationships/image" Target="../media/image927.png"/><Relationship Id="rId174" Type="http://schemas.openxmlformats.org/officeDocument/2006/relationships/image" Target="../media/image928.png"/><Relationship Id="rId175" Type="http://schemas.openxmlformats.org/officeDocument/2006/relationships/image" Target="../media/image929.png"/><Relationship Id="rId176" Type="http://schemas.openxmlformats.org/officeDocument/2006/relationships/image" Target="../media/image930.png"/><Relationship Id="rId177" Type="http://schemas.openxmlformats.org/officeDocument/2006/relationships/image" Target="../media/image931.png"/><Relationship Id="rId178" Type="http://schemas.openxmlformats.org/officeDocument/2006/relationships/image" Target="../media/image932.png"/><Relationship Id="rId179" Type="http://schemas.openxmlformats.org/officeDocument/2006/relationships/image" Target="../media/image933.png"/><Relationship Id="rId180" Type="http://schemas.openxmlformats.org/officeDocument/2006/relationships/image" Target="../media/image934.png"/><Relationship Id="rId181" Type="http://schemas.openxmlformats.org/officeDocument/2006/relationships/image" Target="../media/image935.png"/><Relationship Id="rId182" Type="http://schemas.openxmlformats.org/officeDocument/2006/relationships/image" Target="../media/image936.png"/><Relationship Id="rId183" Type="http://schemas.openxmlformats.org/officeDocument/2006/relationships/image" Target="../media/image937.png"/><Relationship Id="rId184" Type="http://schemas.openxmlformats.org/officeDocument/2006/relationships/image" Target="../media/image938.png"/><Relationship Id="rId185" Type="http://schemas.openxmlformats.org/officeDocument/2006/relationships/image" Target="../media/image939.png"/><Relationship Id="rId186" Type="http://schemas.openxmlformats.org/officeDocument/2006/relationships/image" Target="../media/image940.png"/><Relationship Id="rId187" Type="http://schemas.openxmlformats.org/officeDocument/2006/relationships/image" Target="../media/image941.png"/><Relationship Id="rId188" Type="http://schemas.openxmlformats.org/officeDocument/2006/relationships/image" Target="../media/image942.png"/><Relationship Id="rId189" Type="http://schemas.openxmlformats.org/officeDocument/2006/relationships/image" Target="../media/image943.png"/><Relationship Id="rId190" Type="http://schemas.openxmlformats.org/officeDocument/2006/relationships/image" Target="../media/image944.png"/><Relationship Id="rId191" Type="http://schemas.openxmlformats.org/officeDocument/2006/relationships/image" Target="../media/image945.png"/><Relationship Id="rId192" Type="http://schemas.openxmlformats.org/officeDocument/2006/relationships/image" Target="../media/image946.png"/><Relationship Id="rId193" Type="http://schemas.openxmlformats.org/officeDocument/2006/relationships/image" Target="../media/image947.png"/><Relationship Id="rId194" Type="http://schemas.openxmlformats.org/officeDocument/2006/relationships/image" Target="../media/image948.png"/><Relationship Id="rId195" Type="http://schemas.openxmlformats.org/officeDocument/2006/relationships/image" Target="../media/image949.png"/><Relationship Id="rId196" Type="http://schemas.openxmlformats.org/officeDocument/2006/relationships/image" Target="../media/image950.png"/><Relationship Id="rId197" Type="http://schemas.openxmlformats.org/officeDocument/2006/relationships/image" Target="../media/image951.png"/><Relationship Id="rId198" Type="http://schemas.openxmlformats.org/officeDocument/2006/relationships/image" Target="../media/image952.png"/><Relationship Id="rId199" Type="http://schemas.openxmlformats.org/officeDocument/2006/relationships/image" Target="../media/image953.png"/><Relationship Id="rId200" Type="http://schemas.openxmlformats.org/officeDocument/2006/relationships/image" Target="../media/image954.png"/><Relationship Id="rId201" Type="http://schemas.openxmlformats.org/officeDocument/2006/relationships/image" Target="../media/image955.png"/><Relationship Id="rId202" Type="http://schemas.openxmlformats.org/officeDocument/2006/relationships/image" Target="../media/image956.png"/><Relationship Id="rId203" Type="http://schemas.openxmlformats.org/officeDocument/2006/relationships/image" Target="../media/image957.png"/><Relationship Id="rId204" Type="http://schemas.openxmlformats.org/officeDocument/2006/relationships/image" Target="../media/image958.png"/><Relationship Id="rId205" Type="http://schemas.openxmlformats.org/officeDocument/2006/relationships/image" Target="../media/image959.png"/><Relationship Id="rId206" Type="http://schemas.openxmlformats.org/officeDocument/2006/relationships/image" Target="../media/image960.png"/><Relationship Id="rId207" Type="http://schemas.openxmlformats.org/officeDocument/2006/relationships/image" Target="../media/image961.png"/><Relationship Id="rId208" Type="http://schemas.openxmlformats.org/officeDocument/2006/relationships/image" Target="../media/image962.png"/><Relationship Id="rId209" Type="http://schemas.openxmlformats.org/officeDocument/2006/relationships/image" Target="../media/image963.png"/><Relationship Id="rId210" Type="http://schemas.openxmlformats.org/officeDocument/2006/relationships/image" Target="../media/image964.png"/><Relationship Id="rId211" Type="http://schemas.openxmlformats.org/officeDocument/2006/relationships/image" Target="../media/image965.png"/><Relationship Id="rId212" Type="http://schemas.openxmlformats.org/officeDocument/2006/relationships/image" Target="../media/image966.png"/><Relationship Id="rId213" Type="http://schemas.openxmlformats.org/officeDocument/2006/relationships/image" Target="../media/image967.png"/><Relationship Id="rId214" Type="http://schemas.openxmlformats.org/officeDocument/2006/relationships/image" Target="../media/image968.png"/><Relationship Id="rId215" Type="http://schemas.openxmlformats.org/officeDocument/2006/relationships/image" Target="../media/image969.png"/><Relationship Id="rId216" Type="http://schemas.openxmlformats.org/officeDocument/2006/relationships/image" Target="../media/image970.png"/><Relationship Id="rId217" Type="http://schemas.openxmlformats.org/officeDocument/2006/relationships/image" Target="../media/image971.png"/><Relationship Id="rId218" Type="http://schemas.openxmlformats.org/officeDocument/2006/relationships/image" Target="../media/image972.png"/><Relationship Id="rId219" Type="http://schemas.openxmlformats.org/officeDocument/2006/relationships/image" Target="../media/image973.png"/><Relationship Id="rId220" Type="http://schemas.openxmlformats.org/officeDocument/2006/relationships/image" Target="../media/image974.png"/><Relationship Id="rId221" Type="http://schemas.openxmlformats.org/officeDocument/2006/relationships/image" Target="../media/image975.png"/><Relationship Id="rId222" Type="http://schemas.openxmlformats.org/officeDocument/2006/relationships/image" Target="../media/image976.png"/><Relationship Id="rId223" Type="http://schemas.openxmlformats.org/officeDocument/2006/relationships/image" Target="../media/image977.png"/><Relationship Id="rId224" Type="http://schemas.openxmlformats.org/officeDocument/2006/relationships/image" Target="../media/image978.png"/><Relationship Id="rId225" Type="http://schemas.openxmlformats.org/officeDocument/2006/relationships/image" Target="../media/image979.png"/><Relationship Id="rId226" Type="http://schemas.openxmlformats.org/officeDocument/2006/relationships/image" Target="../media/image980.png"/><Relationship Id="rId227" Type="http://schemas.openxmlformats.org/officeDocument/2006/relationships/image" Target="../media/image981.png"/><Relationship Id="rId228" Type="http://schemas.openxmlformats.org/officeDocument/2006/relationships/image" Target="../media/image982.png"/><Relationship Id="rId229" Type="http://schemas.openxmlformats.org/officeDocument/2006/relationships/image" Target="../media/image983.png"/><Relationship Id="rId230" Type="http://schemas.openxmlformats.org/officeDocument/2006/relationships/image" Target="../media/image984.png"/><Relationship Id="rId231" Type="http://schemas.openxmlformats.org/officeDocument/2006/relationships/image" Target="../media/image985.png"/><Relationship Id="rId232" Type="http://schemas.openxmlformats.org/officeDocument/2006/relationships/image" Target="../media/image986.png"/><Relationship Id="rId233" Type="http://schemas.openxmlformats.org/officeDocument/2006/relationships/image" Target="../media/image987.png"/><Relationship Id="rId234" Type="http://schemas.openxmlformats.org/officeDocument/2006/relationships/image" Target="../media/image988.png"/><Relationship Id="rId235" Type="http://schemas.openxmlformats.org/officeDocument/2006/relationships/image" Target="../media/image989.png"/><Relationship Id="rId236" Type="http://schemas.openxmlformats.org/officeDocument/2006/relationships/image" Target="../media/image990.png"/><Relationship Id="rId237" Type="http://schemas.openxmlformats.org/officeDocument/2006/relationships/image" Target="../media/image991.png"/><Relationship Id="rId238" Type="http://schemas.openxmlformats.org/officeDocument/2006/relationships/image" Target="../media/image992.png"/><Relationship Id="rId239" Type="http://schemas.openxmlformats.org/officeDocument/2006/relationships/image" Target="../media/image993.png"/><Relationship Id="rId240" Type="http://schemas.openxmlformats.org/officeDocument/2006/relationships/image" Target="../media/image994.png"/><Relationship Id="rId241" Type="http://schemas.openxmlformats.org/officeDocument/2006/relationships/image" Target="../media/image995.png"/><Relationship Id="rId242" Type="http://schemas.openxmlformats.org/officeDocument/2006/relationships/image" Target="../media/image996.png"/><Relationship Id="rId243" Type="http://schemas.openxmlformats.org/officeDocument/2006/relationships/image" Target="../media/image997.png"/><Relationship Id="rId244" Type="http://schemas.openxmlformats.org/officeDocument/2006/relationships/image" Target="../media/image998.png"/><Relationship Id="rId245" Type="http://schemas.openxmlformats.org/officeDocument/2006/relationships/image" Target="../media/image999.png"/><Relationship Id="rId246" Type="http://schemas.openxmlformats.org/officeDocument/2006/relationships/image" Target="../media/image1000.png"/><Relationship Id="rId247" Type="http://schemas.openxmlformats.org/officeDocument/2006/relationships/image" Target="../media/image1001.png"/><Relationship Id="rId248" Type="http://schemas.openxmlformats.org/officeDocument/2006/relationships/image" Target="../media/image1002.png"/><Relationship Id="rId249" Type="http://schemas.openxmlformats.org/officeDocument/2006/relationships/image" Target="../media/image1003.png"/><Relationship Id="rId250" Type="http://schemas.openxmlformats.org/officeDocument/2006/relationships/image" Target="../media/image1004.png"/><Relationship Id="rId251" Type="http://schemas.openxmlformats.org/officeDocument/2006/relationships/image" Target="../media/image1005.png"/><Relationship Id="rId252" Type="http://schemas.openxmlformats.org/officeDocument/2006/relationships/image" Target="../media/image1006.png"/><Relationship Id="rId253" Type="http://schemas.openxmlformats.org/officeDocument/2006/relationships/image" Target="../media/image1007.png"/><Relationship Id="rId254" Type="http://schemas.openxmlformats.org/officeDocument/2006/relationships/image" Target="../media/image1008.png"/><Relationship Id="rId255" Type="http://schemas.openxmlformats.org/officeDocument/2006/relationships/image" Target="../media/image1009.png"/><Relationship Id="rId256" Type="http://schemas.openxmlformats.org/officeDocument/2006/relationships/image" Target="../media/image1010.png"/><Relationship Id="rId257" Type="http://schemas.openxmlformats.org/officeDocument/2006/relationships/image" Target="../media/image1011.png"/><Relationship Id="rId258" Type="http://schemas.openxmlformats.org/officeDocument/2006/relationships/image" Target="../media/image1012.png"/><Relationship Id="rId259" Type="http://schemas.openxmlformats.org/officeDocument/2006/relationships/image" Target="../media/image1013.png"/><Relationship Id="rId260" Type="http://schemas.openxmlformats.org/officeDocument/2006/relationships/image" Target="../media/image1014.png"/><Relationship Id="rId261" Type="http://schemas.openxmlformats.org/officeDocument/2006/relationships/image" Target="../media/image1015.png"/><Relationship Id="rId262" Type="http://schemas.openxmlformats.org/officeDocument/2006/relationships/image" Target="../media/image1016.png"/><Relationship Id="rId263" Type="http://schemas.openxmlformats.org/officeDocument/2006/relationships/image" Target="../media/image1017.png"/><Relationship Id="rId264" Type="http://schemas.openxmlformats.org/officeDocument/2006/relationships/image" Target="../media/image1018.png"/><Relationship Id="rId265" Type="http://schemas.openxmlformats.org/officeDocument/2006/relationships/image" Target="../media/image1019.png"/><Relationship Id="rId266" Type="http://schemas.openxmlformats.org/officeDocument/2006/relationships/image" Target="../media/image1020.png"/><Relationship Id="rId267" Type="http://schemas.openxmlformats.org/officeDocument/2006/relationships/image" Target="../media/image1021.png"/><Relationship Id="rId268" Type="http://schemas.openxmlformats.org/officeDocument/2006/relationships/image" Target="../media/image1022.png"/><Relationship Id="rId269" Type="http://schemas.openxmlformats.org/officeDocument/2006/relationships/image" Target="../media/image1023.png"/><Relationship Id="rId270" Type="http://schemas.openxmlformats.org/officeDocument/2006/relationships/image" Target="../media/image1024.png"/><Relationship Id="rId271" Type="http://schemas.openxmlformats.org/officeDocument/2006/relationships/image" Target="../media/image1025.png"/><Relationship Id="rId272" Type="http://schemas.openxmlformats.org/officeDocument/2006/relationships/image" Target="../media/image1026.png"/><Relationship Id="rId273" Type="http://schemas.openxmlformats.org/officeDocument/2006/relationships/image" Target="../media/image1027.png"/><Relationship Id="rId274" Type="http://schemas.openxmlformats.org/officeDocument/2006/relationships/image" Target="../media/image1028.png"/><Relationship Id="rId275" Type="http://schemas.openxmlformats.org/officeDocument/2006/relationships/image" Target="../media/image1029.png"/><Relationship Id="rId276" Type="http://schemas.openxmlformats.org/officeDocument/2006/relationships/image" Target="../media/image1030.png"/><Relationship Id="rId277" Type="http://schemas.openxmlformats.org/officeDocument/2006/relationships/image" Target="../media/image1031.png"/><Relationship Id="rId278" Type="http://schemas.openxmlformats.org/officeDocument/2006/relationships/image" Target="../media/image1032.png"/><Relationship Id="rId279" Type="http://schemas.openxmlformats.org/officeDocument/2006/relationships/image" Target="../media/image1033.png"/><Relationship Id="rId280" Type="http://schemas.openxmlformats.org/officeDocument/2006/relationships/image" Target="../media/image1034.png"/><Relationship Id="rId281" Type="http://schemas.openxmlformats.org/officeDocument/2006/relationships/image" Target="../media/image1035.png"/><Relationship Id="rId282" Type="http://schemas.openxmlformats.org/officeDocument/2006/relationships/image" Target="../media/image1036.png"/><Relationship Id="rId283" Type="http://schemas.openxmlformats.org/officeDocument/2006/relationships/image" Target="../media/image1037.png"/><Relationship Id="rId284" Type="http://schemas.openxmlformats.org/officeDocument/2006/relationships/image" Target="../media/image1038.png"/><Relationship Id="rId285" Type="http://schemas.openxmlformats.org/officeDocument/2006/relationships/image" Target="../media/image1039.png"/><Relationship Id="rId286" Type="http://schemas.openxmlformats.org/officeDocument/2006/relationships/image" Target="../media/image1040.png"/><Relationship Id="rId287" Type="http://schemas.openxmlformats.org/officeDocument/2006/relationships/image" Target="../media/image1041.png"/><Relationship Id="rId288" Type="http://schemas.openxmlformats.org/officeDocument/2006/relationships/image" Target="../media/image1042.png"/><Relationship Id="rId289" Type="http://schemas.openxmlformats.org/officeDocument/2006/relationships/image" Target="../media/image1043.png"/><Relationship Id="rId290" Type="http://schemas.openxmlformats.org/officeDocument/2006/relationships/image" Target="../media/image1044.png"/><Relationship Id="rId291" Type="http://schemas.openxmlformats.org/officeDocument/2006/relationships/image" Target="../media/image1045.png"/><Relationship Id="rId292" Type="http://schemas.openxmlformats.org/officeDocument/2006/relationships/image" Target="../media/image1046.png"/><Relationship Id="rId293" Type="http://schemas.openxmlformats.org/officeDocument/2006/relationships/image" Target="../media/image1047.png"/><Relationship Id="rId294" Type="http://schemas.openxmlformats.org/officeDocument/2006/relationships/image" Target="../media/image1048.png"/><Relationship Id="rId295" Type="http://schemas.openxmlformats.org/officeDocument/2006/relationships/image" Target="../media/image1049.png"/><Relationship Id="rId296" Type="http://schemas.openxmlformats.org/officeDocument/2006/relationships/image" Target="../media/image1050.png"/><Relationship Id="rId297" Type="http://schemas.openxmlformats.org/officeDocument/2006/relationships/image" Target="../media/image1051.png"/><Relationship Id="rId298" Type="http://schemas.openxmlformats.org/officeDocument/2006/relationships/image" Target="../media/image1052.png"/><Relationship Id="rId299" Type="http://schemas.openxmlformats.org/officeDocument/2006/relationships/image" Target="../media/image1053.png"/><Relationship Id="rId300" Type="http://schemas.openxmlformats.org/officeDocument/2006/relationships/image" Target="../media/image1054.png"/><Relationship Id="rId301" Type="http://schemas.openxmlformats.org/officeDocument/2006/relationships/image" Target="../media/image1055.png"/><Relationship Id="rId302" Type="http://schemas.openxmlformats.org/officeDocument/2006/relationships/image" Target="../media/image1056.png"/><Relationship Id="rId303" Type="http://schemas.openxmlformats.org/officeDocument/2006/relationships/image" Target="../media/image1057.png"/><Relationship Id="rId304" Type="http://schemas.openxmlformats.org/officeDocument/2006/relationships/image" Target="../media/image1058.png"/><Relationship Id="rId305" Type="http://schemas.openxmlformats.org/officeDocument/2006/relationships/image" Target="../media/image1059.png"/><Relationship Id="rId306" Type="http://schemas.openxmlformats.org/officeDocument/2006/relationships/image" Target="../media/image1060.png"/><Relationship Id="rId307" Type="http://schemas.openxmlformats.org/officeDocument/2006/relationships/image" Target="../media/image1061.png"/><Relationship Id="rId308" Type="http://schemas.openxmlformats.org/officeDocument/2006/relationships/image" Target="../media/image1062.png"/><Relationship Id="rId309" Type="http://schemas.openxmlformats.org/officeDocument/2006/relationships/image" Target="../media/image1063.png"/><Relationship Id="rId310" Type="http://schemas.openxmlformats.org/officeDocument/2006/relationships/image" Target="../media/image1064.png"/><Relationship Id="rId311" Type="http://schemas.openxmlformats.org/officeDocument/2006/relationships/image" Target="../media/image1065.png"/><Relationship Id="rId312" Type="http://schemas.openxmlformats.org/officeDocument/2006/relationships/image" Target="../media/image1066.png"/><Relationship Id="rId313" Type="http://schemas.openxmlformats.org/officeDocument/2006/relationships/image" Target="../media/image1067.png"/><Relationship Id="rId314" Type="http://schemas.openxmlformats.org/officeDocument/2006/relationships/image" Target="../media/image1068.png"/><Relationship Id="rId315" Type="http://schemas.openxmlformats.org/officeDocument/2006/relationships/image" Target="../media/image1069.png"/><Relationship Id="rId316" Type="http://schemas.openxmlformats.org/officeDocument/2006/relationships/image" Target="../media/image1070.png"/><Relationship Id="rId317" Type="http://schemas.openxmlformats.org/officeDocument/2006/relationships/image" Target="../media/image1071.png"/><Relationship Id="rId318" Type="http://schemas.openxmlformats.org/officeDocument/2006/relationships/image" Target="../media/image1072.png"/><Relationship Id="rId319" Type="http://schemas.openxmlformats.org/officeDocument/2006/relationships/image" Target="../media/image1073.png"/><Relationship Id="rId320" Type="http://schemas.openxmlformats.org/officeDocument/2006/relationships/image" Target="../media/image1074.png"/><Relationship Id="rId321" Type="http://schemas.openxmlformats.org/officeDocument/2006/relationships/image" Target="../media/image1075.png"/><Relationship Id="rId322" Type="http://schemas.openxmlformats.org/officeDocument/2006/relationships/image" Target="../media/image1076.png"/><Relationship Id="rId323" Type="http://schemas.openxmlformats.org/officeDocument/2006/relationships/image" Target="../media/image1077.png"/><Relationship Id="rId324" Type="http://schemas.openxmlformats.org/officeDocument/2006/relationships/image" Target="../media/image1078.png"/><Relationship Id="rId325" Type="http://schemas.openxmlformats.org/officeDocument/2006/relationships/image" Target="../media/image1079.png"/><Relationship Id="rId326" Type="http://schemas.openxmlformats.org/officeDocument/2006/relationships/image" Target="../media/image1080.png"/><Relationship Id="rId327" Type="http://schemas.openxmlformats.org/officeDocument/2006/relationships/image" Target="../media/image1081.png"/><Relationship Id="rId328" Type="http://schemas.openxmlformats.org/officeDocument/2006/relationships/image" Target="../media/image1082.png"/><Relationship Id="rId329" Type="http://schemas.openxmlformats.org/officeDocument/2006/relationships/image" Target="../media/image1083.png"/><Relationship Id="rId330" Type="http://schemas.openxmlformats.org/officeDocument/2006/relationships/image" Target="../media/image1084.png"/><Relationship Id="rId331" Type="http://schemas.openxmlformats.org/officeDocument/2006/relationships/image" Target="../media/image1085.png"/><Relationship Id="rId332" Type="http://schemas.openxmlformats.org/officeDocument/2006/relationships/image" Target="../media/image1086.png"/><Relationship Id="rId333" Type="http://schemas.openxmlformats.org/officeDocument/2006/relationships/image" Target="../media/image1087.png"/><Relationship Id="rId334" Type="http://schemas.openxmlformats.org/officeDocument/2006/relationships/image" Target="../media/image1088.png"/><Relationship Id="rId335" Type="http://schemas.openxmlformats.org/officeDocument/2006/relationships/image" Target="../media/image1089.png"/><Relationship Id="rId336" Type="http://schemas.openxmlformats.org/officeDocument/2006/relationships/image" Target="../media/image1090.png"/><Relationship Id="rId337" Type="http://schemas.openxmlformats.org/officeDocument/2006/relationships/image" Target="../media/image1091.png"/><Relationship Id="rId338" Type="http://schemas.openxmlformats.org/officeDocument/2006/relationships/image" Target="../media/image1092.png"/><Relationship Id="rId339" Type="http://schemas.openxmlformats.org/officeDocument/2006/relationships/image" Target="../media/image1093.png"/><Relationship Id="rId340" Type="http://schemas.openxmlformats.org/officeDocument/2006/relationships/image" Target="../media/image1094.png"/><Relationship Id="rId341" Type="http://schemas.openxmlformats.org/officeDocument/2006/relationships/image" Target="../media/image1095.png"/><Relationship Id="rId342" Type="http://schemas.openxmlformats.org/officeDocument/2006/relationships/image" Target="../media/image1096.png"/><Relationship Id="rId343" Type="http://schemas.openxmlformats.org/officeDocument/2006/relationships/image" Target="../media/image1097.png"/><Relationship Id="rId344" Type="http://schemas.openxmlformats.org/officeDocument/2006/relationships/image" Target="../media/image1098.png"/><Relationship Id="rId345" Type="http://schemas.openxmlformats.org/officeDocument/2006/relationships/image" Target="../media/image1099.png"/><Relationship Id="rId346" Type="http://schemas.openxmlformats.org/officeDocument/2006/relationships/image" Target="../media/image1100.png"/><Relationship Id="rId347" Type="http://schemas.openxmlformats.org/officeDocument/2006/relationships/image" Target="../media/image1101.png"/><Relationship Id="rId348" Type="http://schemas.openxmlformats.org/officeDocument/2006/relationships/image" Target="../media/image1102.png"/><Relationship Id="rId349" Type="http://schemas.openxmlformats.org/officeDocument/2006/relationships/image" Target="../media/image1103.png"/><Relationship Id="rId350" Type="http://schemas.openxmlformats.org/officeDocument/2006/relationships/image" Target="../media/image1104.png"/><Relationship Id="rId351" Type="http://schemas.openxmlformats.org/officeDocument/2006/relationships/image" Target="../media/image1105.png"/><Relationship Id="rId352" Type="http://schemas.openxmlformats.org/officeDocument/2006/relationships/image" Target="../media/image1106.png"/><Relationship Id="rId353" Type="http://schemas.openxmlformats.org/officeDocument/2006/relationships/image" Target="../media/image1107.png"/><Relationship Id="rId354" Type="http://schemas.openxmlformats.org/officeDocument/2006/relationships/image" Target="../media/image110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112.png"/><Relationship Id="rId4" Type="http://schemas.openxmlformats.org/officeDocument/2006/relationships/image" Target="../media/image1113.png"/><Relationship Id="rId5" Type="http://schemas.openxmlformats.org/officeDocument/2006/relationships/image" Target="../media/image1114.png"/><Relationship Id="rId6" Type="http://schemas.openxmlformats.org/officeDocument/2006/relationships/image" Target="../media/image1115.png"/><Relationship Id="rId7" Type="http://schemas.openxmlformats.org/officeDocument/2006/relationships/image" Target="../media/image1116.png"/><Relationship Id="rId8" Type="http://schemas.openxmlformats.org/officeDocument/2006/relationships/image" Target="../media/image1117.png"/><Relationship Id="rId9" Type="http://schemas.openxmlformats.org/officeDocument/2006/relationships/image" Target="../media/image1118.png"/><Relationship Id="rId10" Type="http://schemas.openxmlformats.org/officeDocument/2006/relationships/image" Target="../media/image1119.png"/><Relationship Id="rId11" Type="http://schemas.openxmlformats.org/officeDocument/2006/relationships/image" Target="../media/image1120.png"/><Relationship Id="rId12" Type="http://schemas.openxmlformats.org/officeDocument/2006/relationships/image" Target="../media/image1121.png"/><Relationship Id="rId13" Type="http://schemas.openxmlformats.org/officeDocument/2006/relationships/image" Target="../media/image1122.png"/><Relationship Id="rId14" Type="http://schemas.openxmlformats.org/officeDocument/2006/relationships/image" Target="../media/image1123.png"/><Relationship Id="rId15" Type="http://schemas.openxmlformats.org/officeDocument/2006/relationships/image" Target="../media/image1124.png"/><Relationship Id="rId16" Type="http://schemas.openxmlformats.org/officeDocument/2006/relationships/image" Target="../media/image1125.png"/><Relationship Id="rId17" Type="http://schemas.openxmlformats.org/officeDocument/2006/relationships/image" Target="../media/image1126.png"/><Relationship Id="rId18" Type="http://schemas.openxmlformats.org/officeDocument/2006/relationships/image" Target="../media/image1127.png"/><Relationship Id="rId19" Type="http://schemas.openxmlformats.org/officeDocument/2006/relationships/image" Target="../media/image1128.png"/><Relationship Id="rId20" Type="http://schemas.openxmlformats.org/officeDocument/2006/relationships/image" Target="../media/image1129.png"/><Relationship Id="rId21" Type="http://schemas.openxmlformats.org/officeDocument/2006/relationships/image" Target="../media/image1130.png"/><Relationship Id="rId22" Type="http://schemas.openxmlformats.org/officeDocument/2006/relationships/image" Target="../media/image1131.png"/><Relationship Id="rId23" Type="http://schemas.openxmlformats.org/officeDocument/2006/relationships/image" Target="../media/image1132.png"/><Relationship Id="rId24" Type="http://schemas.openxmlformats.org/officeDocument/2006/relationships/image" Target="../media/image1133.png"/><Relationship Id="rId25" Type="http://schemas.openxmlformats.org/officeDocument/2006/relationships/image" Target="../media/image1134.png"/><Relationship Id="rId26" Type="http://schemas.openxmlformats.org/officeDocument/2006/relationships/image" Target="../media/image1135.png"/><Relationship Id="rId27" Type="http://schemas.openxmlformats.org/officeDocument/2006/relationships/image" Target="../media/image1136.png"/><Relationship Id="rId28" Type="http://schemas.openxmlformats.org/officeDocument/2006/relationships/image" Target="../media/image1137.png"/><Relationship Id="rId29" Type="http://schemas.openxmlformats.org/officeDocument/2006/relationships/image" Target="../media/image1138.png"/><Relationship Id="rId30" Type="http://schemas.openxmlformats.org/officeDocument/2006/relationships/image" Target="../media/image1139.png"/><Relationship Id="rId31" Type="http://schemas.openxmlformats.org/officeDocument/2006/relationships/image" Target="../media/image1140.png"/><Relationship Id="rId32" Type="http://schemas.openxmlformats.org/officeDocument/2006/relationships/image" Target="../media/image1141.png"/><Relationship Id="rId33" Type="http://schemas.openxmlformats.org/officeDocument/2006/relationships/image" Target="../media/image1142.png"/><Relationship Id="rId34" Type="http://schemas.openxmlformats.org/officeDocument/2006/relationships/image" Target="../media/image1143.png"/><Relationship Id="rId35" Type="http://schemas.openxmlformats.org/officeDocument/2006/relationships/image" Target="../media/image1144.png"/><Relationship Id="rId36" Type="http://schemas.openxmlformats.org/officeDocument/2006/relationships/image" Target="../media/image1145.png"/><Relationship Id="rId37" Type="http://schemas.openxmlformats.org/officeDocument/2006/relationships/image" Target="../media/image1146.png"/><Relationship Id="rId38" Type="http://schemas.openxmlformats.org/officeDocument/2006/relationships/image" Target="../media/image1147.png"/><Relationship Id="rId39" Type="http://schemas.openxmlformats.org/officeDocument/2006/relationships/image" Target="../media/image1148.png"/><Relationship Id="rId40" Type="http://schemas.openxmlformats.org/officeDocument/2006/relationships/image" Target="../media/image1149.png"/><Relationship Id="rId41" Type="http://schemas.openxmlformats.org/officeDocument/2006/relationships/image" Target="../media/image1150.png"/><Relationship Id="rId42" Type="http://schemas.openxmlformats.org/officeDocument/2006/relationships/image" Target="../media/image1151.png"/><Relationship Id="rId43" Type="http://schemas.openxmlformats.org/officeDocument/2006/relationships/image" Target="../media/image1152.png"/><Relationship Id="rId44" Type="http://schemas.openxmlformats.org/officeDocument/2006/relationships/image" Target="../media/image1153.png"/><Relationship Id="rId45" Type="http://schemas.openxmlformats.org/officeDocument/2006/relationships/image" Target="../media/image1154.png"/><Relationship Id="rId46" Type="http://schemas.openxmlformats.org/officeDocument/2006/relationships/image" Target="../media/image1155.png"/><Relationship Id="rId47" Type="http://schemas.openxmlformats.org/officeDocument/2006/relationships/image" Target="../media/image1156.png"/><Relationship Id="rId48" Type="http://schemas.openxmlformats.org/officeDocument/2006/relationships/image" Target="../media/image1157.png"/><Relationship Id="rId49" Type="http://schemas.openxmlformats.org/officeDocument/2006/relationships/image" Target="../media/image1158.png"/><Relationship Id="rId50" Type="http://schemas.openxmlformats.org/officeDocument/2006/relationships/image" Target="../media/image1159.png"/><Relationship Id="rId51" Type="http://schemas.openxmlformats.org/officeDocument/2006/relationships/image" Target="../media/image1160.png"/><Relationship Id="rId52" Type="http://schemas.openxmlformats.org/officeDocument/2006/relationships/image" Target="../media/image1161.png"/><Relationship Id="rId53" Type="http://schemas.openxmlformats.org/officeDocument/2006/relationships/image" Target="../media/image1162.png"/><Relationship Id="rId54" Type="http://schemas.openxmlformats.org/officeDocument/2006/relationships/image" Target="../media/image1163.png"/><Relationship Id="rId55" Type="http://schemas.openxmlformats.org/officeDocument/2006/relationships/image" Target="../media/image1164.png"/><Relationship Id="rId56" Type="http://schemas.openxmlformats.org/officeDocument/2006/relationships/image" Target="../media/image1165.png"/><Relationship Id="rId57" Type="http://schemas.openxmlformats.org/officeDocument/2006/relationships/image" Target="../media/image1166.png"/><Relationship Id="rId58" Type="http://schemas.openxmlformats.org/officeDocument/2006/relationships/image" Target="../media/image1167.png"/><Relationship Id="rId59" Type="http://schemas.openxmlformats.org/officeDocument/2006/relationships/image" Target="../media/image1168.png"/><Relationship Id="rId60" Type="http://schemas.openxmlformats.org/officeDocument/2006/relationships/image" Target="../media/image1169.png"/><Relationship Id="rId61" Type="http://schemas.openxmlformats.org/officeDocument/2006/relationships/image" Target="../media/image1170.png"/><Relationship Id="rId62" Type="http://schemas.openxmlformats.org/officeDocument/2006/relationships/image" Target="../media/image1171.png"/><Relationship Id="rId63" Type="http://schemas.openxmlformats.org/officeDocument/2006/relationships/image" Target="../media/image1172.png"/><Relationship Id="rId64" Type="http://schemas.openxmlformats.org/officeDocument/2006/relationships/image" Target="../media/image1173.png"/><Relationship Id="rId65" Type="http://schemas.openxmlformats.org/officeDocument/2006/relationships/image" Target="../media/image1174.png"/><Relationship Id="rId66" Type="http://schemas.openxmlformats.org/officeDocument/2006/relationships/image" Target="../media/image1175.png"/><Relationship Id="rId67" Type="http://schemas.openxmlformats.org/officeDocument/2006/relationships/image" Target="../media/image1176.png"/><Relationship Id="rId68" Type="http://schemas.openxmlformats.org/officeDocument/2006/relationships/image" Target="../media/image1177.png"/><Relationship Id="rId69" Type="http://schemas.openxmlformats.org/officeDocument/2006/relationships/image" Target="../media/image1178.png"/><Relationship Id="rId70" Type="http://schemas.openxmlformats.org/officeDocument/2006/relationships/image" Target="../media/image1179.png"/><Relationship Id="rId71" Type="http://schemas.openxmlformats.org/officeDocument/2006/relationships/image" Target="../media/image1180.png"/><Relationship Id="rId72" Type="http://schemas.openxmlformats.org/officeDocument/2006/relationships/image" Target="../media/image1181.png"/><Relationship Id="rId73" Type="http://schemas.openxmlformats.org/officeDocument/2006/relationships/image" Target="../media/image1182.png"/><Relationship Id="rId74" Type="http://schemas.openxmlformats.org/officeDocument/2006/relationships/image" Target="../media/image1183.png"/><Relationship Id="rId75" Type="http://schemas.openxmlformats.org/officeDocument/2006/relationships/image" Target="../media/image1184.png"/><Relationship Id="rId76" Type="http://schemas.openxmlformats.org/officeDocument/2006/relationships/image" Target="../media/image1185.png"/><Relationship Id="rId77" Type="http://schemas.openxmlformats.org/officeDocument/2006/relationships/image" Target="../media/image1186.png"/><Relationship Id="rId78" Type="http://schemas.openxmlformats.org/officeDocument/2006/relationships/image" Target="../media/image1187.png"/><Relationship Id="rId79" Type="http://schemas.openxmlformats.org/officeDocument/2006/relationships/image" Target="../media/image1188.png"/><Relationship Id="rId80" Type="http://schemas.openxmlformats.org/officeDocument/2006/relationships/image" Target="../media/image1189.png"/><Relationship Id="rId81" Type="http://schemas.openxmlformats.org/officeDocument/2006/relationships/image" Target="../media/image1190.png"/><Relationship Id="rId82" Type="http://schemas.openxmlformats.org/officeDocument/2006/relationships/image" Target="../media/image1191.png"/><Relationship Id="rId83" Type="http://schemas.openxmlformats.org/officeDocument/2006/relationships/image" Target="../media/image1192.png"/><Relationship Id="rId84" Type="http://schemas.openxmlformats.org/officeDocument/2006/relationships/image" Target="../media/image1193.png"/><Relationship Id="rId85" Type="http://schemas.openxmlformats.org/officeDocument/2006/relationships/image" Target="../media/image1194.png"/><Relationship Id="rId86" Type="http://schemas.openxmlformats.org/officeDocument/2006/relationships/image" Target="../media/image1195.png"/><Relationship Id="rId87" Type="http://schemas.openxmlformats.org/officeDocument/2006/relationships/image" Target="../media/image1196.png"/><Relationship Id="rId88" Type="http://schemas.openxmlformats.org/officeDocument/2006/relationships/image" Target="../media/image1197.png"/><Relationship Id="rId89" Type="http://schemas.openxmlformats.org/officeDocument/2006/relationships/image" Target="../media/image1198.png"/><Relationship Id="rId90" Type="http://schemas.openxmlformats.org/officeDocument/2006/relationships/image" Target="../media/image1199.png"/><Relationship Id="rId91" Type="http://schemas.openxmlformats.org/officeDocument/2006/relationships/image" Target="../media/image1200.png"/><Relationship Id="rId92" Type="http://schemas.openxmlformats.org/officeDocument/2006/relationships/image" Target="../media/image1201.png"/><Relationship Id="rId93" Type="http://schemas.openxmlformats.org/officeDocument/2006/relationships/image" Target="../media/image1202.png"/><Relationship Id="rId94" Type="http://schemas.openxmlformats.org/officeDocument/2006/relationships/image" Target="../media/image1203.png"/><Relationship Id="rId95" Type="http://schemas.openxmlformats.org/officeDocument/2006/relationships/image" Target="../media/image1204.png"/><Relationship Id="rId96" Type="http://schemas.openxmlformats.org/officeDocument/2006/relationships/image" Target="../media/image1205.png"/><Relationship Id="rId97" Type="http://schemas.openxmlformats.org/officeDocument/2006/relationships/image" Target="../media/image1206.png"/><Relationship Id="rId98" Type="http://schemas.openxmlformats.org/officeDocument/2006/relationships/image" Target="../media/image1207.png"/><Relationship Id="rId99" Type="http://schemas.openxmlformats.org/officeDocument/2006/relationships/image" Target="../media/image1208.png"/><Relationship Id="rId100" Type="http://schemas.openxmlformats.org/officeDocument/2006/relationships/image" Target="../media/image1209.png"/><Relationship Id="rId101" Type="http://schemas.openxmlformats.org/officeDocument/2006/relationships/image" Target="../media/image1210.png"/><Relationship Id="rId102" Type="http://schemas.openxmlformats.org/officeDocument/2006/relationships/image" Target="../media/image1211.png"/><Relationship Id="rId103" Type="http://schemas.openxmlformats.org/officeDocument/2006/relationships/image" Target="../media/image1212.png"/><Relationship Id="rId104" Type="http://schemas.openxmlformats.org/officeDocument/2006/relationships/image" Target="../media/image1213.png"/><Relationship Id="rId105" Type="http://schemas.openxmlformats.org/officeDocument/2006/relationships/image" Target="../media/image1214.png"/><Relationship Id="rId106" Type="http://schemas.openxmlformats.org/officeDocument/2006/relationships/image" Target="../media/image1215.png"/><Relationship Id="rId107" Type="http://schemas.openxmlformats.org/officeDocument/2006/relationships/image" Target="../media/image1216.png"/><Relationship Id="rId108" Type="http://schemas.openxmlformats.org/officeDocument/2006/relationships/image" Target="../media/image1217.png"/><Relationship Id="rId109" Type="http://schemas.openxmlformats.org/officeDocument/2006/relationships/image" Target="../media/image1218.png"/><Relationship Id="rId110" Type="http://schemas.openxmlformats.org/officeDocument/2006/relationships/image" Target="../media/image1219.png"/><Relationship Id="rId111" Type="http://schemas.openxmlformats.org/officeDocument/2006/relationships/image" Target="../media/image1220.png"/><Relationship Id="rId112" Type="http://schemas.openxmlformats.org/officeDocument/2006/relationships/image" Target="../media/image1221.png"/><Relationship Id="rId113" Type="http://schemas.openxmlformats.org/officeDocument/2006/relationships/image" Target="../media/image1222.png"/><Relationship Id="rId114" Type="http://schemas.openxmlformats.org/officeDocument/2006/relationships/image" Target="../media/image1223.png"/><Relationship Id="rId115" Type="http://schemas.openxmlformats.org/officeDocument/2006/relationships/image" Target="../media/image1224.png"/><Relationship Id="rId116" Type="http://schemas.openxmlformats.org/officeDocument/2006/relationships/image" Target="../media/image1225.png"/><Relationship Id="rId117" Type="http://schemas.openxmlformats.org/officeDocument/2006/relationships/image" Target="../media/image1226.png"/><Relationship Id="rId118" Type="http://schemas.openxmlformats.org/officeDocument/2006/relationships/image" Target="../media/image1227.png"/><Relationship Id="rId119" Type="http://schemas.openxmlformats.org/officeDocument/2006/relationships/image" Target="../media/image1228.png"/><Relationship Id="rId120" Type="http://schemas.openxmlformats.org/officeDocument/2006/relationships/image" Target="../media/image1229.png"/><Relationship Id="rId121" Type="http://schemas.openxmlformats.org/officeDocument/2006/relationships/image" Target="../media/image1230.png"/><Relationship Id="rId122" Type="http://schemas.openxmlformats.org/officeDocument/2006/relationships/image" Target="../media/image1231.png"/><Relationship Id="rId123" Type="http://schemas.openxmlformats.org/officeDocument/2006/relationships/image" Target="../media/image1232.png"/><Relationship Id="rId124" Type="http://schemas.openxmlformats.org/officeDocument/2006/relationships/image" Target="../media/image1233.png"/><Relationship Id="rId125" Type="http://schemas.openxmlformats.org/officeDocument/2006/relationships/image" Target="../media/image1234.png"/><Relationship Id="rId126" Type="http://schemas.openxmlformats.org/officeDocument/2006/relationships/image" Target="../media/image1235.png"/><Relationship Id="rId127" Type="http://schemas.openxmlformats.org/officeDocument/2006/relationships/image" Target="../media/image1236.png"/><Relationship Id="rId128" Type="http://schemas.openxmlformats.org/officeDocument/2006/relationships/image" Target="../media/image1237.png"/><Relationship Id="rId129" Type="http://schemas.openxmlformats.org/officeDocument/2006/relationships/image" Target="../media/image1238.png"/><Relationship Id="rId130" Type="http://schemas.openxmlformats.org/officeDocument/2006/relationships/image" Target="../media/image1239.png"/><Relationship Id="rId131" Type="http://schemas.openxmlformats.org/officeDocument/2006/relationships/image" Target="../media/image1240.png"/><Relationship Id="rId132" Type="http://schemas.openxmlformats.org/officeDocument/2006/relationships/image" Target="../media/image1241.png"/><Relationship Id="rId133" Type="http://schemas.openxmlformats.org/officeDocument/2006/relationships/image" Target="../media/image1242.png"/><Relationship Id="rId134" Type="http://schemas.openxmlformats.org/officeDocument/2006/relationships/image" Target="../media/image1243.png"/><Relationship Id="rId135" Type="http://schemas.openxmlformats.org/officeDocument/2006/relationships/image" Target="../media/image1244.png"/><Relationship Id="rId136" Type="http://schemas.openxmlformats.org/officeDocument/2006/relationships/image" Target="../media/image1245.png"/><Relationship Id="rId137" Type="http://schemas.openxmlformats.org/officeDocument/2006/relationships/image" Target="../media/image1246.png"/><Relationship Id="rId138" Type="http://schemas.openxmlformats.org/officeDocument/2006/relationships/image" Target="../media/image1247.png"/><Relationship Id="rId139" Type="http://schemas.openxmlformats.org/officeDocument/2006/relationships/image" Target="../media/image1248.png"/><Relationship Id="rId140" Type="http://schemas.openxmlformats.org/officeDocument/2006/relationships/image" Target="../media/image1249.png"/><Relationship Id="rId141" Type="http://schemas.openxmlformats.org/officeDocument/2006/relationships/image" Target="../media/image1250.png"/><Relationship Id="rId142" Type="http://schemas.openxmlformats.org/officeDocument/2006/relationships/image" Target="../media/image1251.png"/><Relationship Id="rId143" Type="http://schemas.openxmlformats.org/officeDocument/2006/relationships/image" Target="../media/image1252.png"/><Relationship Id="rId144" Type="http://schemas.openxmlformats.org/officeDocument/2006/relationships/image" Target="../media/image1253.png"/><Relationship Id="rId145" Type="http://schemas.openxmlformats.org/officeDocument/2006/relationships/image" Target="../media/image1254.png"/><Relationship Id="rId146" Type="http://schemas.openxmlformats.org/officeDocument/2006/relationships/image" Target="../media/image1255.png"/><Relationship Id="rId147" Type="http://schemas.openxmlformats.org/officeDocument/2006/relationships/image" Target="../media/image1256.png"/><Relationship Id="rId148" Type="http://schemas.openxmlformats.org/officeDocument/2006/relationships/image" Target="../media/image1257.png"/><Relationship Id="rId149" Type="http://schemas.openxmlformats.org/officeDocument/2006/relationships/image" Target="../media/image1258.png"/><Relationship Id="rId150" Type="http://schemas.openxmlformats.org/officeDocument/2006/relationships/image" Target="../media/image1259.png"/><Relationship Id="rId151" Type="http://schemas.openxmlformats.org/officeDocument/2006/relationships/image" Target="../media/image1260.png"/><Relationship Id="rId152" Type="http://schemas.openxmlformats.org/officeDocument/2006/relationships/image" Target="../media/image1261.png"/><Relationship Id="rId153" Type="http://schemas.openxmlformats.org/officeDocument/2006/relationships/image" Target="../media/image1262.png"/><Relationship Id="rId154" Type="http://schemas.openxmlformats.org/officeDocument/2006/relationships/image" Target="../media/image1263.png"/><Relationship Id="rId155" Type="http://schemas.openxmlformats.org/officeDocument/2006/relationships/image" Target="../media/image1264.png"/><Relationship Id="rId156" Type="http://schemas.openxmlformats.org/officeDocument/2006/relationships/image" Target="../media/image1265.png"/><Relationship Id="rId157" Type="http://schemas.openxmlformats.org/officeDocument/2006/relationships/image" Target="../media/image1266.png"/><Relationship Id="rId158" Type="http://schemas.openxmlformats.org/officeDocument/2006/relationships/image" Target="../media/image1267.png"/><Relationship Id="rId159" Type="http://schemas.openxmlformats.org/officeDocument/2006/relationships/image" Target="../media/image1268.png"/><Relationship Id="rId160" Type="http://schemas.openxmlformats.org/officeDocument/2006/relationships/image" Target="../media/image1269.png"/><Relationship Id="rId161" Type="http://schemas.openxmlformats.org/officeDocument/2006/relationships/image" Target="../media/image1270.png"/><Relationship Id="rId162" Type="http://schemas.openxmlformats.org/officeDocument/2006/relationships/image" Target="../media/image1271.png"/><Relationship Id="rId163" Type="http://schemas.openxmlformats.org/officeDocument/2006/relationships/image" Target="../media/image1272.png"/><Relationship Id="rId164" Type="http://schemas.openxmlformats.org/officeDocument/2006/relationships/image" Target="../media/image1273.png"/><Relationship Id="rId165" Type="http://schemas.openxmlformats.org/officeDocument/2006/relationships/image" Target="../media/image1274.png"/><Relationship Id="rId166" Type="http://schemas.openxmlformats.org/officeDocument/2006/relationships/image" Target="../media/image1275.png"/><Relationship Id="rId167" Type="http://schemas.openxmlformats.org/officeDocument/2006/relationships/image" Target="../media/image1276.png"/><Relationship Id="rId168" Type="http://schemas.openxmlformats.org/officeDocument/2006/relationships/image" Target="../media/image1277.png"/><Relationship Id="rId169" Type="http://schemas.openxmlformats.org/officeDocument/2006/relationships/image" Target="../media/image1278.png"/><Relationship Id="rId170" Type="http://schemas.openxmlformats.org/officeDocument/2006/relationships/image" Target="../media/image1279.png"/><Relationship Id="rId171" Type="http://schemas.openxmlformats.org/officeDocument/2006/relationships/image" Target="../media/image1280.png"/><Relationship Id="rId172" Type="http://schemas.openxmlformats.org/officeDocument/2006/relationships/image" Target="../media/image1281.png"/><Relationship Id="rId173" Type="http://schemas.openxmlformats.org/officeDocument/2006/relationships/image" Target="../media/image1282.png"/><Relationship Id="rId174" Type="http://schemas.openxmlformats.org/officeDocument/2006/relationships/image" Target="../media/image1283.png"/><Relationship Id="rId175" Type="http://schemas.openxmlformats.org/officeDocument/2006/relationships/image" Target="../media/image1284.png"/><Relationship Id="rId176" Type="http://schemas.openxmlformats.org/officeDocument/2006/relationships/image" Target="../media/image1285.png"/><Relationship Id="rId177" Type="http://schemas.openxmlformats.org/officeDocument/2006/relationships/image" Target="../media/image1286.png"/><Relationship Id="rId178" Type="http://schemas.openxmlformats.org/officeDocument/2006/relationships/image" Target="../media/image1287.png"/><Relationship Id="rId179" Type="http://schemas.openxmlformats.org/officeDocument/2006/relationships/image" Target="../media/image1288.png"/><Relationship Id="rId180" Type="http://schemas.openxmlformats.org/officeDocument/2006/relationships/image" Target="../media/image1289.png"/><Relationship Id="rId181" Type="http://schemas.openxmlformats.org/officeDocument/2006/relationships/image" Target="../media/image1290.png"/><Relationship Id="rId182" Type="http://schemas.openxmlformats.org/officeDocument/2006/relationships/image" Target="../media/image1291.png"/><Relationship Id="rId183" Type="http://schemas.openxmlformats.org/officeDocument/2006/relationships/image" Target="../media/image1292.png"/><Relationship Id="rId184" Type="http://schemas.openxmlformats.org/officeDocument/2006/relationships/image" Target="../media/image1293.png"/><Relationship Id="rId185" Type="http://schemas.openxmlformats.org/officeDocument/2006/relationships/image" Target="../media/image1294.png"/><Relationship Id="rId186" Type="http://schemas.openxmlformats.org/officeDocument/2006/relationships/image" Target="../media/image1295.png"/><Relationship Id="rId187" Type="http://schemas.openxmlformats.org/officeDocument/2006/relationships/image" Target="../media/image1296.png"/><Relationship Id="rId188" Type="http://schemas.openxmlformats.org/officeDocument/2006/relationships/image" Target="../media/image1297.png"/><Relationship Id="rId189" Type="http://schemas.openxmlformats.org/officeDocument/2006/relationships/image" Target="../media/image1298.png"/><Relationship Id="rId190" Type="http://schemas.openxmlformats.org/officeDocument/2006/relationships/image" Target="../media/image1299.png"/><Relationship Id="rId191" Type="http://schemas.openxmlformats.org/officeDocument/2006/relationships/image" Target="../media/image1300.png"/><Relationship Id="rId192" Type="http://schemas.openxmlformats.org/officeDocument/2006/relationships/image" Target="../media/image1301.png"/><Relationship Id="rId193" Type="http://schemas.openxmlformats.org/officeDocument/2006/relationships/image" Target="../media/image1302.png"/><Relationship Id="rId194" Type="http://schemas.openxmlformats.org/officeDocument/2006/relationships/image" Target="../media/image1303.png"/><Relationship Id="rId195" Type="http://schemas.openxmlformats.org/officeDocument/2006/relationships/image" Target="../media/image1304.png"/><Relationship Id="rId196" Type="http://schemas.openxmlformats.org/officeDocument/2006/relationships/image" Target="../media/image1305.png"/><Relationship Id="rId197" Type="http://schemas.openxmlformats.org/officeDocument/2006/relationships/image" Target="../media/image1306.png"/><Relationship Id="rId198" Type="http://schemas.openxmlformats.org/officeDocument/2006/relationships/image" Target="../media/image1307.png"/><Relationship Id="rId199" Type="http://schemas.openxmlformats.org/officeDocument/2006/relationships/image" Target="../media/image1308.png"/><Relationship Id="rId200" Type="http://schemas.openxmlformats.org/officeDocument/2006/relationships/image" Target="../media/image1309.png"/><Relationship Id="rId201" Type="http://schemas.openxmlformats.org/officeDocument/2006/relationships/image" Target="../media/image1310.png"/><Relationship Id="rId202" Type="http://schemas.openxmlformats.org/officeDocument/2006/relationships/image" Target="../media/image1311.png"/><Relationship Id="rId203" Type="http://schemas.openxmlformats.org/officeDocument/2006/relationships/image" Target="../media/image1312.png"/><Relationship Id="rId204" Type="http://schemas.openxmlformats.org/officeDocument/2006/relationships/image" Target="../media/image1313.png"/><Relationship Id="rId205" Type="http://schemas.openxmlformats.org/officeDocument/2006/relationships/image" Target="../media/image1314.png"/><Relationship Id="rId206" Type="http://schemas.openxmlformats.org/officeDocument/2006/relationships/image" Target="../media/image1315.png"/><Relationship Id="rId207" Type="http://schemas.openxmlformats.org/officeDocument/2006/relationships/image" Target="../media/image1316.png"/><Relationship Id="rId208" Type="http://schemas.openxmlformats.org/officeDocument/2006/relationships/image" Target="../media/image1317.png"/><Relationship Id="rId209" Type="http://schemas.openxmlformats.org/officeDocument/2006/relationships/image" Target="../media/image1318.png"/><Relationship Id="rId210" Type="http://schemas.openxmlformats.org/officeDocument/2006/relationships/image" Target="../media/image1319.png"/><Relationship Id="rId211" Type="http://schemas.openxmlformats.org/officeDocument/2006/relationships/image" Target="../media/image1320.png"/><Relationship Id="rId212" Type="http://schemas.openxmlformats.org/officeDocument/2006/relationships/image" Target="../media/image1321.png"/><Relationship Id="rId213" Type="http://schemas.openxmlformats.org/officeDocument/2006/relationships/image" Target="../media/image1322.png"/><Relationship Id="rId214" Type="http://schemas.openxmlformats.org/officeDocument/2006/relationships/image" Target="../media/image1323.png"/><Relationship Id="rId215" Type="http://schemas.openxmlformats.org/officeDocument/2006/relationships/image" Target="../media/image1324.png"/><Relationship Id="rId216" Type="http://schemas.openxmlformats.org/officeDocument/2006/relationships/image" Target="../media/image1325.png"/><Relationship Id="rId217" Type="http://schemas.openxmlformats.org/officeDocument/2006/relationships/image" Target="../media/image1326.png"/><Relationship Id="rId218" Type="http://schemas.openxmlformats.org/officeDocument/2006/relationships/image" Target="../media/image1327.png"/><Relationship Id="rId219" Type="http://schemas.openxmlformats.org/officeDocument/2006/relationships/image" Target="../media/image1328.png"/><Relationship Id="rId220" Type="http://schemas.openxmlformats.org/officeDocument/2006/relationships/image" Target="../media/image1329.png"/><Relationship Id="rId221" Type="http://schemas.openxmlformats.org/officeDocument/2006/relationships/image" Target="../media/image1330.png"/><Relationship Id="rId222" Type="http://schemas.openxmlformats.org/officeDocument/2006/relationships/image" Target="../media/image1331.png"/><Relationship Id="rId223" Type="http://schemas.openxmlformats.org/officeDocument/2006/relationships/image" Target="../media/image1332.png"/><Relationship Id="rId224" Type="http://schemas.openxmlformats.org/officeDocument/2006/relationships/image" Target="../media/image1333.png"/><Relationship Id="rId225" Type="http://schemas.openxmlformats.org/officeDocument/2006/relationships/image" Target="../media/image1334.png"/><Relationship Id="rId226" Type="http://schemas.openxmlformats.org/officeDocument/2006/relationships/image" Target="../media/image1335.png"/><Relationship Id="rId227" Type="http://schemas.openxmlformats.org/officeDocument/2006/relationships/image" Target="../media/image1336.png"/><Relationship Id="rId228" Type="http://schemas.openxmlformats.org/officeDocument/2006/relationships/image" Target="../media/image1337.png"/><Relationship Id="rId229" Type="http://schemas.openxmlformats.org/officeDocument/2006/relationships/image" Target="../media/image1338.png"/><Relationship Id="rId230" Type="http://schemas.openxmlformats.org/officeDocument/2006/relationships/image" Target="../media/image1339.png"/><Relationship Id="rId231" Type="http://schemas.openxmlformats.org/officeDocument/2006/relationships/image" Target="../media/image1340.png"/><Relationship Id="rId232" Type="http://schemas.openxmlformats.org/officeDocument/2006/relationships/image" Target="../media/image1341.png"/><Relationship Id="rId233" Type="http://schemas.openxmlformats.org/officeDocument/2006/relationships/image" Target="../media/image1342.png"/><Relationship Id="rId234" Type="http://schemas.openxmlformats.org/officeDocument/2006/relationships/image" Target="../media/image1343.png"/><Relationship Id="rId235" Type="http://schemas.openxmlformats.org/officeDocument/2006/relationships/image" Target="../media/image1344.png"/><Relationship Id="rId236" Type="http://schemas.openxmlformats.org/officeDocument/2006/relationships/image" Target="../media/image1345.png"/><Relationship Id="rId237" Type="http://schemas.openxmlformats.org/officeDocument/2006/relationships/image" Target="../media/image1346.png"/><Relationship Id="rId238" Type="http://schemas.openxmlformats.org/officeDocument/2006/relationships/image" Target="../media/image1347.png"/><Relationship Id="rId239" Type="http://schemas.openxmlformats.org/officeDocument/2006/relationships/image" Target="../media/image1348.png"/><Relationship Id="rId240" Type="http://schemas.openxmlformats.org/officeDocument/2006/relationships/image" Target="../media/image1349.png"/><Relationship Id="rId241" Type="http://schemas.openxmlformats.org/officeDocument/2006/relationships/image" Target="../media/image1350.png"/><Relationship Id="rId242" Type="http://schemas.openxmlformats.org/officeDocument/2006/relationships/image" Target="../media/image1351.png"/><Relationship Id="rId243" Type="http://schemas.openxmlformats.org/officeDocument/2006/relationships/image" Target="../media/image1352.png"/><Relationship Id="rId244" Type="http://schemas.openxmlformats.org/officeDocument/2006/relationships/image" Target="../media/image1353.png"/><Relationship Id="rId245" Type="http://schemas.openxmlformats.org/officeDocument/2006/relationships/image" Target="../media/image1354.png"/><Relationship Id="rId246" Type="http://schemas.openxmlformats.org/officeDocument/2006/relationships/image" Target="../media/image1355.png"/><Relationship Id="rId247" Type="http://schemas.openxmlformats.org/officeDocument/2006/relationships/image" Target="../media/image1356.png"/><Relationship Id="rId248" Type="http://schemas.openxmlformats.org/officeDocument/2006/relationships/image" Target="../media/image1357.png"/><Relationship Id="rId249" Type="http://schemas.openxmlformats.org/officeDocument/2006/relationships/image" Target="../media/image1358.png"/><Relationship Id="rId250" Type="http://schemas.openxmlformats.org/officeDocument/2006/relationships/image" Target="../media/image1359.png"/><Relationship Id="rId251" Type="http://schemas.openxmlformats.org/officeDocument/2006/relationships/image" Target="../media/image1360.png"/><Relationship Id="rId252" Type="http://schemas.openxmlformats.org/officeDocument/2006/relationships/image" Target="../media/image1361.png"/><Relationship Id="rId253" Type="http://schemas.openxmlformats.org/officeDocument/2006/relationships/image" Target="../media/image1362.png"/><Relationship Id="rId254" Type="http://schemas.openxmlformats.org/officeDocument/2006/relationships/image" Target="../media/image1363.png"/><Relationship Id="rId255" Type="http://schemas.openxmlformats.org/officeDocument/2006/relationships/image" Target="../media/image1364.png"/><Relationship Id="rId256" Type="http://schemas.openxmlformats.org/officeDocument/2006/relationships/image" Target="../media/image1365.png"/><Relationship Id="rId257" Type="http://schemas.openxmlformats.org/officeDocument/2006/relationships/image" Target="../media/image1366.png"/><Relationship Id="rId258" Type="http://schemas.openxmlformats.org/officeDocument/2006/relationships/image" Target="../media/image1367.png"/><Relationship Id="rId259" Type="http://schemas.openxmlformats.org/officeDocument/2006/relationships/image" Target="../media/image1368.png"/><Relationship Id="rId260" Type="http://schemas.openxmlformats.org/officeDocument/2006/relationships/image" Target="../media/image1369.png"/><Relationship Id="rId261" Type="http://schemas.openxmlformats.org/officeDocument/2006/relationships/image" Target="../media/image1370.png"/><Relationship Id="rId262" Type="http://schemas.openxmlformats.org/officeDocument/2006/relationships/image" Target="../media/image1371.png"/><Relationship Id="rId263" Type="http://schemas.openxmlformats.org/officeDocument/2006/relationships/image" Target="../media/image1372.png"/><Relationship Id="rId264" Type="http://schemas.openxmlformats.org/officeDocument/2006/relationships/image" Target="../media/image1373.png"/><Relationship Id="rId265" Type="http://schemas.openxmlformats.org/officeDocument/2006/relationships/image" Target="../media/image1374.png"/><Relationship Id="rId266" Type="http://schemas.openxmlformats.org/officeDocument/2006/relationships/image" Target="../media/image1375.png"/><Relationship Id="rId267" Type="http://schemas.openxmlformats.org/officeDocument/2006/relationships/image" Target="../media/image1376.png"/><Relationship Id="rId268" Type="http://schemas.openxmlformats.org/officeDocument/2006/relationships/image" Target="../media/image1377.png"/><Relationship Id="rId269" Type="http://schemas.openxmlformats.org/officeDocument/2006/relationships/image" Target="../media/image1378.png"/><Relationship Id="rId270" Type="http://schemas.openxmlformats.org/officeDocument/2006/relationships/image" Target="../media/image1379.png"/><Relationship Id="rId271" Type="http://schemas.openxmlformats.org/officeDocument/2006/relationships/image" Target="../media/image1380.png"/><Relationship Id="rId272" Type="http://schemas.openxmlformats.org/officeDocument/2006/relationships/image" Target="../media/image1381.png"/><Relationship Id="rId273" Type="http://schemas.openxmlformats.org/officeDocument/2006/relationships/image" Target="../media/image1382.png"/><Relationship Id="rId274" Type="http://schemas.openxmlformats.org/officeDocument/2006/relationships/image" Target="../media/image1383.png"/><Relationship Id="rId275" Type="http://schemas.openxmlformats.org/officeDocument/2006/relationships/image" Target="../media/image1384.png"/><Relationship Id="rId276" Type="http://schemas.openxmlformats.org/officeDocument/2006/relationships/image" Target="../media/image1385.png"/><Relationship Id="rId277" Type="http://schemas.openxmlformats.org/officeDocument/2006/relationships/image" Target="../media/image1386.png"/><Relationship Id="rId278" Type="http://schemas.openxmlformats.org/officeDocument/2006/relationships/image" Target="../media/image1387.png"/><Relationship Id="rId279" Type="http://schemas.openxmlformats.org/officeDocument/2006/relationships/image" Target="../media/image1388.png"/><Relationship Id="rId280" Type="http://schemas.openxmlformats.org/officeDocument/2006/relationships/image" Target="../media/image1389.png"/><Relationship Id="rId281" Type="http://schemas.openxmlformats.org/officeDocument/2006/relationships/image" Target="../media/image1390.png"/><Relationship Id="rId282" Type="http://schemas.openxmlformats.org/officeDocument/2006/relationships/image" Target="../media/image1391.png"/><Relationship Id="rId283" Type="http://schemas.openxmlformats.org/officeDocument/2006/relationships/image" Target="../media/image1392.png"/><Relationship Id="rId284" Type="http://schemas.openxmlformats.org/officeDocument/2006/relationships/image" Target="../media/image1393.png"/><Relationship Id="rId285" Type="http://schemas.openxmlformats.org/officeDocument/2006/relationships/image" Target="../media/image1394.png"/><Relationship Id="rId286" Type="http://schemas.openxmlformats.org/officeDocument/2006/relationships/image" Target="../media/image1395.png"/><Relationship Id="rId287" Type="http://schemas.openxmlformats.org/officeDocument/2006/relationships/image" Target="../media/image1396.png"/><Relationship Id="rId288" Type="http://schemas.openxmlformats.org/officeDocument/2006/relationships/image" Target="../media/image1397.png"/><Relationship Id="rId289" Type="http://schemas.openxmlformats.org/officeDocument/2006/relationships/image" Target="../media/image1398.png"/><Relationship Id="rId290" Type="http://schemas.openxmlformats.org/officeDocument/2006/relationships/image" Target="../media/image1399.png"/><Relationship Id="rId291" Type="http://schemas.openxmlformats.org/officeDocument/2006/relationships/image" Target="../media/image1400.png"/><Relationship Id="rId292" Type="http://schemas.openxmlformats.org/officeDocument/2006/relationships/image" Target="../media/image1401.png"/><Relationship Id="rId293" Type="http://schemas.openxmlformats.org/officeDocument/2006/relationships/image" Target="../media/image1402.png"/><Relationship Id="rId294" Type="http://schemas.openxmlformats.org/officeDocument/2006/relationships/image" Target="../media/image1403.png"/><Relationship Id="rId295" Type="http://schemas.openxmlformats.org/officeDocument/2006/relationships/image" Target="../media/image1404.png"/><Relationship Id="rId296" Type="http://schemas.openxmlformats.org/officeDocument/2006/relationships/image" Target="../media/image1405.png"/><Relationship Id="rId297" Type="http://schemas.openxmlformats.org/officeDocument/2006/relationships/image" Target="../media/image1406.png"/><Relationship Id="rId298" Type="http://schemas.openxmlformats.org/officeDocument/2006/relationships/image" Target="../media/image1407.png"/><Relationship Id="rId299" Type="http://schemas.openxmlformats.org/officeDocument/2006/relationships/image" Target="../media/image1408.png"/><Relationship Id="rId300" Type="http://schemas.openxmlformats.org/officeDocument/2006/relationships/image" Target="../media/image1409.png"/><Relationship Id="rId301" Type="http://schemas.openxmlformats.org/officeDocument/2006/relationships/image" Target="../media/image1410.png"/><Relationship Id="rId302" Type="http://schemas.openxmlformats.org/officeDocument/2006/relationships/image" Target="../media/image1411.png"/><Relationship Id="rId303" Type="http://schemas.openxmlformats.org/officeDocument/2006/relationships/image" Target="../media/image1412.png"/><Relationship Id="rId304" Type="http://schemas.openxmlformats.org/officeDocument/2006/relationships/image" Target="../media/image1413.png"/><Relationship Id="rId305" Type="http://schemas.openxmlformats.org/officeDocument/2006/relationships/image" Target="../media/image1414.png"/><Relationship Id="rId306" Type="http://schemas.openxmlformats.org/officeDocument/2006/relationships/image" Target="../media/image1415.png"/><Relationship Id="rId307" Type="http://schemas.openxmlformats.org/officeDocument/2006/relationships/image" Target="../media/image1416.png"/><Relationship Id="rId308" Type="http://schemas.openxmlformats.org/officeDocument/2006/relationships/image" Target="../media/image1417.png"/><Relationship Id="rId309" Type="http://schemas.openxmlformats.org/officeDocument/2006/relationships/image" Target="../media/image1418.png"/><Relationship Id="rId310" Type="http://schemas.openxmlformats.org/officeDocument/2006/relationships/image" Target="../media/image1419.png"/><Relationship Id="rId311" Type="http://schemas.openxmlformats.org/officeDocument/2006/relationships/image" Target="../media/image1420.png"/><Relationship Id="rId312" Type="http://schemas.openxmlformats.org/officeDocument/2006/relationships/image" Target="../media/image1421.png"/><Relationship Id="rId313" Type="http://schemas.openxmlformats.org/officeDocument/2006/relationships/image" Target="../media/image1422.png"/><Relationship Id="rId314" Type="http://schemas.openxmlformats.org/officeDocument/2006/relationships/image" Target="../media/image1423.png"/><Relationship Id="rId315" Type="http://schemas.openxmlformats.org/officeDocument/2006/relationships/image" Target="../media/image1424.png"/><Relationship Id="rId316" Type="http://schemas.openxmlformats.org/officeDocument/2006/relationships/image" Target="../media/image1425.png"/><Relationship Id="rId317" Type="http://schemas.openxmlformats.org/officeDocument/2006/relationships/image" Target="../media/image1426.png"/><Relationship Id="rId318" Type="http://schemas.openxmlformats.org/officeDocument/2006/relationships/image" Target="../media/image1427.png"/><Relationship Id="rId319" Type="http://schemas.openxmlformats.org/officeDocument/2006/relationships/image" Target="../media/image1428.png"/><Relationship Id="rId320" Type="http://schemas.openxmlformats.org/officeDocument/2006/relationships/image" Target="../media/image1429.png"/><Relationship Id="rId321" Type="http://schemas.openxmlformats.org/officeDocument/2006/relationships/image" Target="../media/image1430.png"/><Relationship Id="rId322" Type="http://schemas.openxmlformats.org/officeDocument/2006/relationships/image" Target="../media/image1431.png"/><Relationship Id="rId323" Type="http://schemas.openxmlformats.org/officeDocument/2006/relationships/image" Target="../media/image1432.png"/><Relationship Id="rId324" Type="http://schemas.openxmlformats.org/officeDocument/2006/relationships/image" Target="../media/image1433.png"/><Relationship Id="rId325" Type="http://schemas.openxmlformats.org/officeDocument/2006/relationships/image" Target="../media/image1434.png"/><Relationship Id="rId326" Type="http://schemas.openxmlformats.org/officeDocument/2006/relationships/image" Target="../media/image1435.png"/><Relationship Id="rId327" Type="http://schemas.openxmlformats.org/officeDocument/2006/relationships/image" Target="../media/image1436.png"/><Relationship Id="rId328" Type="http://schemas.openxmlformats.org/officeDocument/2006/relationships/image" Target="../media/image1437.png"/><Relationship Id="rId329" Type="http://schemas.openxmlformats.org/officeDocument/2006/relationships/image" Target="../media/image1438.png"/><Relationship Id="rId330" Type="http://schemas.openxmlformats.org/officeDocument/2006/relationships/image" Target="../media/image1439.png"/><Relationship Id="rId331" Type="http://schemas.openxmlformats.org/officeDocument/2006/relationships/image" Target="../media/image1440.png"/><Relationship Id="rId332" Type="http://schemas.openxmlformats.org/officeDocument/2006/relationships/image" Target="../media/image1441.png"/><Relationship Id="rId333" Type="http://schemas.openxmlformats.org/officeDocument/2006/relationships/image" Target="../media/image1442.png"/><Relationship Id="rId334" Type="http://schemas.openxmlformats.org/officeDocument/2006/relationships/image" Target="../media/image1443.png"/><Relationship Id="rId335" Type="http://schemas.openxmlformats.org/officeDocument/2006/relationships/image" Target="../media/image1444.png"/><Relationship Id="rId336" Type="http://schemas.openxmlformats.org/officeDocument/2006/relationships/image" Target="../media/image1445.png"/><Relationship Id="rId337" Type="http://schemas.openxmlformats.org/officeDocument/2006/relationships/image" Target="../media/image1446.png"/><Relationship Id="rId338" Type="http://schemas.openxmlformats.org/officeDocument/2006/relationships/image" Target="../media/image1447.png"/><Relationship Id="rId339" Type="http://schemas.openxmlformats.org/officeDocument/2006/relationships/image" Target="../media/image1448.png"/><Relationship Id="rId340" Type="http://schemas.openxmlformats.org/officeDocument/2006/relationships/image" Target="../media/image1449.png"/><Relationship Id="rId341" Type="http://schemas.openxmlformats.org/officeDocument/2006/relationships/image" Target="../media/image1450.png"/><Relationship Id="rId342" Type="http://schemas.openxmlformats.org/officeDocument/2006/relationships/image" Target="../media/image1451.png"/><Relationship Id="rId343" Type="http://schemas.openxmlformats.org/officeDocument/2006/relationships/image" Target="../media/image1452.png"/><Relationship Id="rId344" Type="http://schemas.openxmlformats.org/officeDocument/2006/relationships/image" Target="../media/image1453.png"/><Relationship Id="rId345" Type="http://schemas.openxmlformats.org/officeDocument/2006/relationships/image" Target="../media/image1454.png"/><Relationship Id="rId346" Type="http://schemas.openxmlformats.org/officeDocument/2006/relationships/image" Target="../media/image1455.png"/><Relationship Id="rId347" Type="http://schemas.openxmlformats.org/officeDocument/2006/relationships/image" Target="../media/image1456.png"/><Relationship Id="rId348" Type="http://schemas.openxmlformats.org/officeDocument/2006/relationships/image" Target="../media/image1457.png"/><Relationship Id="rId349" Type="http://schemas.openxmlformats.org/officeDocument/2006/relationships/image" Target="../media/image1458.png"/><Relationship Id="rId350" Type="http://schemas.openxmlformats.org/officeDocument/2006/relationships/image" Target="../media/image1459.png"/><Relationship Id="rId351" Type="http://schemas.openxmlformats.org/officeDocument/2006/relationships/image" Target="../media/image1460.png"/><Relationship Id="rId352" Type="http://schemas.openxmlformats.org/officeDocument/2006/relationships/image" Target="../media/image1461.png"/><Relationship Id="rId353" Type="http://schemas.openxmlformats.org/officeDocument/2006/relationships/image" Target="../media/image1462.png"/><Relationship Id="rId354" Type="http://schemas.openxmlformats.org/officeDocument/2006/relationships/image" Target="../media/image1463.png"/><Relationship Id="rId355" Type="http://schemas.openxmlformats.org/officeDocument/2006/relationships/image" Target="../media/image1464.png"/><Relationship Id="rId356" Type="http://schemas.openxmlformats.org/officeDocument/2006/relationships/image" Target="../media/image1465.png"/><Relationship Id="rId357" Type="http://schemas.openxmlformats.org/officeDocument/2006/relationships/image" Target="../media/image1466.png"/><Relationship Id="rId358" Type="http://schemas.openxmlformats.org/officeDocument/2006/relationships/image" Target="../media/image1467.png"/><Relationship Id="rId359" Type="http://schemas.openxmlformats.org/officeDocument/2006/relationships/image" Target="../media/image1468.png"/><Relationship Id="rId360" Type="http://schemas.openxmlformats.org/officeDocument/2006/relationships/image" Target="../media/image1469.png"/><Relationship Id="rId361" Type="http://schemas.openxmlformats.org/officeDocument/2006/relationships/image" Target="../media/image1470.png"/><Relationship Id="rId362" Type="http://schemas.openxmlformats.org/officeDocument/2006/relationships/image" Target="../media/image1471.png"/><Relationship Id="rId363" Type="http://schemas.openxmlformats.org/officeDocument/2006/relationships/image" Target="../media/image1472.png"/><Relationship Id="rId364" Type="http://schemas.openxmlformats.org/officeDocument/2006/relationships/image" Target="../media/image1473.png"/><Relationship Id="rId365" Type="http://schemas.openxmlformats.org/officeDocument/2006/relationships/image" Target="../media/image1474.png"/><Relationship Id="rId366" Type="http://schemas.openxmlformats.org/officeDocument/2006/relationships/image" Target="../media/image1475.png"/><Relationship Id="rId367" Type="http://schemas.openxmlformats.org/officeDocument/2006/relationships/image" Target="../media/image1476.png"/><Relationship Id="rId368" Type="http://schemas.openxmlformats.org/officeDocument/2006/relationships/image" Target="../media/image1477.png"/><Relationship Id="rId369" Type="http://schemas.openxmlformats.org/officeDocument/2006/relationships/image" Target="../media/image1478.png"/><Relationship Id="rId370" Type="http://schemas.openxmlformats.org/officeDocument/2006/relationships/image" Target="../media/image1479.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483.png"/><Relationship Id="rId4" Type="http://schemas.openxmlformats.org/officeDocument/2006/relationships/image" Target="../media/image1484.png"/><Relationship Id="rId5" Type="http://schemas.openxmlformats.org/officeDocument/2006/relationships/image" Target="../media/image1485.png"/><Relationship Id="rId6" Type="http://schemas.openxmlformats.org/officeDocument/2006/relationships/image" Target="../media/image1486.png"/><Relationship Id="rId7" Type="http://schemas.openxmlformats.org/officeDocument/2006/relationships/image" Target="../media/image1487.png"/><Relationship Id="rId8" Type="http://schemas.openxmlformats.org/officeDocument/2006/relationships/image" Target="../media/image1488.png"/><Relationship Id="rId9" Type="http://schemas.openxmlformats.org/officeDocument/2006/relationships/image" Target="../media/image1489.png"/><Relationship Id="rId10" Type="http://schemas.openxmlformats.org/officeDocument/2006/relationships/image" Target="../media/image1490.png"/><Relationship Id="rId11" Type="http://schemas.openxmlformats.org/officeDocument/2006/relationships/image" Target="../media/image1491.png"/><Relationship Id="rId12" Type="http://schemas.openxmlformats.org/officeDocument/2006/relationships/image" Target="../media/image1492.png"/><Relationship Id="rId13" Type="http://schemas.openxmlformats.org/officeDocument/2006/relationships/image" Target="../media/image1493.png"/><Relationship Id="rId14" Type="http://schemas.openxmlformats.org/officeDocument/2006/relationships/image" Target="../media/image1494.png"/><Relationship Id="rId15" Type="http://schemas.openxmlformats.org/officeDocument/2006/relationships/image" Target="../media/image1495.png"/><Relationship Id="rId16" Type="http://schemas.openxmlformats.org/officeDocument/2006/relationships/image" Target="../media/image1496.png"/><Relationship Id="rId17" Type="http://schemas.openxmlformats.org/officeDocument/2006/relationships/image" Target="../media/image1497.png"/><Relationship Id="rId18" Type="http://schemas.openxmlformats.org/officeDocument/2006/relationships/image" Target="../media/image1498.png"/><Relationship Id="rId19" Type="http://schemas.openxmlformats.org/officeDocument/2006/relationships/image" Target="../media/image1499.png"/><Relationship Id="rId20" Type="http://schemas.openxmlformats.org/officeDocument/2006/relationships/image" Target="../media/image1500.png"/><Relationship Id="rId21" Type="http://schemas.openxmlformats.org/officeDocument/2006/relationships/image" Target="../media/image1482.png"/><Relationship Id="rId22" Type="http://schemas.openxmlformats.org/officeDocument/2006/relationships/image" Target="../media/image1482.png"/><Relationship Id="rId23" Type="http://schemas.openxmlformats.org/officeDocument/2006/relationships/image" Target="../media/image1482.png"/><Relationship Id="rId24" Type="http://schemas.openxmlformats.org/officeDocument/2006/relationships/image" Target="../media/image1501.png"/><Relationship Id="rId25" Type="http://schemas.openxmlformats.org/officeDocument/2006/relationships/image" Target="../media/image1502.png"/><Relationship Id="rId26" Type="http://schemas.openxmlformats.org/officeDocument/2006/relationships/image" Target="../media/image1503.png"/><Relationship Id="rId27" Type="http://schemas.openxmlformats.org/officeDocument/2006/relationships/image" Target="../media/image1504.png"/><Relationship Id="rId28" Type="http://schemas.openxmlformats.org/officeDocument/2006/relationships/image" Target="../media/image1505.png"/><Relationship Id="rId29" Type="http://schemas.openxmlformats.org/officeDocument/2006/relationships/image" Target="../media/image1506.png"/><Relationship Id="rId30" Type="http://schemas.openxmlformats.org/officeDocument/2006/relationships/image" Target="../media/image1507.png"/><Relationship Id="rId31" Type="http://schemas.openxmlformats.org/officeDocument/2006/relationships/image" Target="../media/image1508.png"/><Relationship Id="rId32" Type="http://schemas.openxmlformats.org/officeDocument/2006/relationships/image" Target="../media/image1509.png"/><Relationship Id="rId33" Type="http://schemas.openxmlformats.org/officeDocument/2006/relationships/image" Target="../media/image1510.png"/><Relationship Id="rId34" Type="http://schemas.openxmlformats.org/officeDocument/2006/relationships/image" Target="../media/image1511.png"/><Relationship Id="rId35" Type="http://schemas.openxmlformats.org/officeDocument/2006/relationships/image" Target="../media/image1512.png"/><Relationship Id="rId36" Type="http://schemas.openxmlformats.org/officeDocument/2006/relationships/image" Target="../media/image1513.png"/><Relationship Id="rId37" Type="http://schemas.openxmlformats.org/officeDocument/2006/relationships/image" Target="../media/image1514.png"/><Relationship Id="rId38" Type="http://schemas.openxmlformats.org/officeDocument/2006/relationships/image" Target="../media/image1515.png"/><Relationship Id="rId39" Type="http://schemas.openxmlformats.org/officeDocument/2006/relationships/image" Target="../media/image1516.png"/><Relationship Id="rId40" Type="http://schemas.openxmlformats.org/officeDocument/2006/relationships/image" Target="../media/image1517.png"/><Relationship Id="rId41" Type="http://schemas.openxmlformats.org/officeDocument/2006/relationships/image" Target="../media/image1518.png"/><Relationship Id="rId42" Type="http://schemas.openxmlformats.org/officeDocument/2006/relationships/image" Target="../media/image1519.png"/><Relationship Id="rId43" Type="http://schemas.openxmlformats.org/officeDocument/2006/relationships/image" Target="../media/image1520.png"/><Relationship Id="rId44" Type="http://schemas.openxmlformats.org/officeDocument/2006/relationships/image" Target="../media/image1521.png"/><Relationship Id="rId45" Type="http://schemas.openxmlformats.org/officeDocument/2006/relationships/image" Target="../media/image1482.png"/><Relationship Id="rId46" Type="http://schemas.openxmlformats.org/officeDocument/2006/relationships/image" Target="../media/image1481.png"/><Relationship Id="rId47" Type="http://schemas.openxmlformats.org/officeDocument/2006/relationships/image" Target="../media/image1482.png"/><Relationship Id="rId48" Type="http://schemas.openxmlformats.org/officeDocument/2006/relationships/image" Target="../media/image1482.png"/><Relationship Id="rId49" Type="http://schemas.openxmlformats.org/officeDocument/2006/relationships/image" Target="../media/image1522.png"/><Relationship Id="rId50" Type="http://schemas.openxmlformats.org/officeDocument/2006/relationships/image" Target="../media/image1523.png"/><Relationship Id="rId51" Type="http://schemas.openxmlformats.org/officeDocument/2006/relationships/image" Target="../media/image1524.png"/><Relationship Id="rId52" Type="http://schemas.openxmlformats.org/officeDocument/2006/relationships/image" Target="../media/image1525.png"/><Relationship Id="rId53" Type="http://schemas.openxmlformats.org/officeDocument/2006/relationships/image" Target="../media/image1526.png"/><Relationship Id="rId54" Type="http://schemas.openxmlformats.org/officeDocument/2006/relationships/image" Target="../media/image1527.png"/><Relationship Id="rId55" Type="http://schemas.openxmlformats.org/officeDocument/2006/relationships/image" Target="../media/image1528.png"/><Relationship Id="rId56" Type="http://schemas.openxmlformats.org/officeDocument/2006/relationships/image" Target="../media/image1529.png"/><Relationship Id="rId57" Type="http://schemas.openxmlformats.org/officeDocument/2006/relationships/image" Target="../media/image1530.png"/><Relationship Id="rId58" Type="http://schemas.openxmlformats.org/officeDocument/2006/relationships/image" Target="../media/image1531.png"/><Relationship Id="rId59" Type="http://schemas.openxmlformats.org/officeDocument/2006/relationships/image" Target="../media/image1532.png"/><Relationship Id="rId60" Type="http://schemas.openxmlformats.org/officeDocument/2006/relationships/image" Target="../media/image1533.png"/><Relationship Id="rId61" Type="http://schemas.openxmlformats.org/officeDocument/2006/relationships/image" Target="../media/image1534.png"/><Relationship Id="rId62" Type="http://schemas.openxmlformats.org/officeDocument/2006/relationships/image" Target="../media/image1535.png"/><Relationship Id="rId63" Type="http://schemas.openxmlformats.org/officeDocument/2006/relationships/image" Target="../media/image1536.png"/><Relationship Id="rId64" Type="http://schemas.openxmlformats.org/officeDocument/2006/relationships/image" Target="../media/image1537.png"/><Relationship Id="rId65" Type="http://schemas.openxmlformats.org/officeDocument/2006/relationships/image" Target="../media/image1538.png"/><Relationship Id="rId66" Type="http://schemas.openxmlformats.org/officeDocument/2006/relationships/image" Target="../media/image1539.png"/><Relationship Id="rId67" Type="http://schemas.openxmlformats.org/officeDocument/2006/relationships/image" Target="../media/image1540.png"/><Relationship Id="rId68" Type="http://schemas.openxmlformats.org/officeDocument/2006/relationships/image" Target="../media/image1541.png"/><Relationship Id="rId69" Type="http://schemas.openxmlformats.org/officeDocument/2006/relationships/image" Target="../media/image1542.png"/><Relationship Id="rId70" Type="http://schemas.openxmlformats.org/officeDocument/2006/relationships/image" Target="../media/image1543.png"/><Relationship Id="rId71" Type="http://schemas.openxmlformats.org/officeDocument/2006/relationships/image" Target="../media/image1544.png"/><Relationship Id="rId72" Type="http://schemas.openxmlformats.org/officeDocument/2006/relationships/image" Target="../media/image1545.png"/><Relationship Id="rId73" Type="http://schemas.openxmlformats.org/officeDocument/2006/relationships/image" Target="../media/image1546.png"/><Relationship Id="rId74" Type="http://schemas.openxmlformats.org/officeDocument/2006/relationships/image" Target="../media/image1547.png"/><Relationship Id="rId75" Type="http://schemas.openxmlformats.org/officeDocument/2006/relationships/image" Target="../media/image1548.png"/><Relationship Id="rId76" Type="http://schemas.openxmlformats.org/officeDocument/2006/relationships/image" Target="../media/image1549.png"/><Relationship Id="rId77" Type="http://schemas.openxmlformats.org/officeDocument/2006/relationships/image" Target="../media/image1550.png"/><Relationship Id="rId78" Type="http://schemas.openxmlformats.org/officeDocument/2006/relationships/image" Target="../media/image1551.png"/><Relationship Id="rId79" Type="http://schemas.openxmlformats.org/officeDocument/2006/relationships/image" Target="../media/image1552.png"/><Relationship Id="rId80" Type="http://schemas.openxmlformats.org/officeDocument/2006/relationships/image" Target="../media/image1553.png"/><Relationship Id="rId81" Type="http://schemas.openxmlformats.org/officeDocument/2006/relationships/image" Target="../media/image1554.png"/><Relationship Id="rId82" Type="http://schemas.openxmlformats.org/officeDocument/2006/relationships/image" Target="../media/image1555.png"/><Relationship Id="rId83" Type="http://schemas.openxmlformats.org/officeDocument/2006/relationships/image" Target="../media/image1556.png"/><Relationship Id="rId84" Type="http://schemas.openxmlformats.org/officeDocument/2006/relationships/image" Target="../media/image1557.png"/><Relationship Id="rId85" Type="http://schemas.openxmlformats.org/officeDocument/2006/relationships/image" Target="../media/image1558.png"/><Relationship Id="rId86" Type="http://schemas.openxmlformats.org/officeDocument/2006/relationships/image" Target="../media/image1559.png"/><Relationship Id="rId87" Type="http://schemas.openxmlformats.org/officeDocument/2006/relationships/image" Target="../media/image1560.png"/><Relationship Id="rId88" Type="http://schemas.openxmlformats.org/officeDocument/2006/relationships/image" Target="../media/image1561.png"/><Relationship Id="rId89" Type="http://schemas.openxmlformats.org/officeDocument/2006/relationships/image" Target="../media/image1562.png"/><Relationship Id="rId90" Type="http://schemas.openxmlformats.org/officeDocument/2006/relationships/image" Target="../media/image1563.png"/><Relationship Id="rId91" Type="http://schemas.openxmlformats.org/officeDocument/2006/relationships/image" Target="../media/image1564.png"/><Relationship Id="rId92" Type="http://schemas.openxmlformats.org/officeDocument/2006/relationships/image" Target="../media/image1565.png"/><Relationship Id="rId93" Type="http://schemas.openxmlformats.org/officeDocument/2006/relationships/image" Target="../media/image1566.png"/><Relationship Id="rId94" Type="http://schemas.openxmlformats.org/officeDocument/2006/relationships/image" Target="../media/image1482.png"/><Relationship Id="rId95" Type="http://schemas.openxmlformats.org/officeDocument/2006/relationships/image" Target="../media/image1482.png"/><Relationship Id="rId96" Type="http://schemas.openxmlformats.org/officeDocument/2006/relationships/image" Target="../media/image1567.png"/><Relationship Id="rId97" Type="http://schemas.openxmlformats.org/officeDocument/2006/relationships/image" Target="../media/image1568.png"/><Relationship Id="rId98" Type="http://schemas.openxmlformats.org/officeDocument/2006/relationships/image" Target="../media/image1569.png"/><Relationship Id="rId99" Type="http://schemas.openxmlformats.org/officeDocument/2006/relationships/image" Target="../media/image1570.png"/><Relationship Id="rId100" Type="http://schemas.openxmlformats.org/officeDocument/2006/relationships/image" Target="../media/image1571.png"/><Relationship Id="rId101" Type="http://schemas.openxmlformats.org/officeDocument/2006/relationships/image" Target="../media/image1572.png"/><Relationship Id="rId102" Type="http://schemas.openxmlformats.org/officeDocument/2006/relationships/image" Target="../media/image1573.png"/><Relationship Id="rId103" Type="http://schemas.openxmlformats.org/officeDocument/2006/relationships/image" Target="../media/image1574.png"/><Relationship Id="rId104" Type="http://schemas.openxmlformats.org/officeDocument/2006/relationships/image" Target="../media/image1575.png"/><Relationship Id="rId105" Type="http://schemas.openxmlformats.org/officeDocument/2006/relationships/image" Target="../media/image1576.png"/><Relationship Id="rId106" Type="http://schemas.openxmlformats.org/officeDocument/2006/relationships/image" Target="../media/image1577.png"/><Relationship Id="rId107" Type="http://schemas.openxmlformats.org/officeDocument/2006/relationships/image" Target="../media/image1578.png"/><Relationship Id="rId108" Type="http://schemas.openxmlformats.org/officeDocument/2006/relationships/image" Target="../media/image1579.png"/><Relationship Id="rId109" Type="http://schemas.openxmlformats.org/officeDocument/2006/relationships/image" Target="../media/image1580.png"/><Relationship Id="rId110" Type="http://schemas.openxmlformats.org/officeDocument/2006/relationships/image" Target="../media/image1581.png"/><Relationship Id="rId111" Type="http://schemas.openxmlformats.org/officeDocument/2006/relationships/image" Target="../media/image1582.png"/><Relationship Id="rId112" Type="http://schemas.openxmlformats.org/officeDocument/2006/relationships/image" Target="../media/image1583.png"/><Relationship Id="rId113" Type="http://schemas.openxmlformats.org/officeDocument/2006/relationships/image" Target="../media/image1584.png"/><Relationship Id="rId114" Type="http://schemas.openxmlformats.org/officeDocument/2006/relationships/image" Target="../media/image1585.png"/><Relationship Id="rId115" Type="http://schemas.openxmlformats.org/officeDocument/2006/relationships/image" Target="../media/image1586.png"/><Relationship Id="rId116" Type="http://schemas.openxmlformats.org/officeDocument/2006/relationships/image" Target="../media/image1587.png"/><Relationship Id="rId117" Type="http://schemas.openxmlformats.org/officeDocument/2006/relationships/image" Target="../media/image1588.png"/><Relationship Id="rId118" Type="http://schemas.openxmlformats.org/officeDocument/2006/relationships/image" Target="../media/image1482.png"/><Relationship Id="rId119" Type="http://schemas.openxmlformats.org/officeDocument/2006/relationships/image" Target="../media/image1482.png"/><Relationship Id="rId120" Type="http://schemas.openxmlformats.org/officeDocument/2006/relationships/image" Target="../media/image1482.png"/><Relationship Id="rId121" Type="http://schemas.openxmlformats.org/officeDocument/2006/relationships/image" Target="../media/image1589.png"/><Relationship Id="rId122" Type="http://schemas.openxmlformats.org/officeDocument/2006/relationships/image" Target="../media/image1590.png"/><Relationship Id="rId123" Type="http://schemas.openxmlformats.org/officeDocument/2006/relationships/image" Target="../media/image1591.png"/><Relationship Id="rId124" Type="http://schemas.openxmlformats.org/officeDocument/2006/relationships/image" Target="../media/image1592.png"/><Relationship Id="rId125" Type="http://schemas.openxmlformats.org/officeDocument/2006/relationships/image" Target="../media/image1593.png"/><Relationship Id="rId126" Type="http://schemas.openxmlformats.org/officeDocument/2006/relationships/image" Target="../media/image1594.png"/><Relationship Id="rId127" Type="http://schemas.openxmlformats.org/officeDocument/2006/relationships/image" Target="../media/image1595.png"/><Relationship Id="rId128" Type="http://schemas.openxmlformats.org/officeDocument/2006/relationships/image" Target="../media/image1596.png"/><Relationship Id="rId129" Type="http://schemas.openxmlformats.org/officeDocument/2006/relationships/image" Target="../media/image1597.png"/><Relationship Id="rId130" Type="http://schemas.openxmlformats.org/officeDocument/2006/relationships/image" Target="../media/image1598.png"/><Relationship Id="rId131" Type="http://schemas.openxmlformats.org/officeDocument/2006/relationships/image" Target="../media/image1599.png"/><Relationship Id="rId132" Type="http://schemas.openxmlformats.org/officeDocument/2006/relationships/image" Target="../media/image1600.png"/><Relationship Id="rId133" Type="http://schemas.openxmlformats.org/officeDocument/2006/relationships/image" Target="../media/image1601.png"/><Relationship Id="rId134" Type="http://schemas.openxmlformats.org/officeDocument/2006/relationships/image" Target="../media/image1602.png"/><Relationship Id="rId135" Type="http://schemas.openxmlformats.org/officeDocument/2006/relationships/image" Target="../media/image1603.png"/><Relationship Id="rId136" Type="http://schemas.openxmlformats.org/officeDocument/2006/relationships/image" Target="../media/image1604.png"/><Relationship Id="rId137" Type="http://schemas.openxmlformats.org/officeDocument/2006/relationships/image" Target="../media/image1605.png"/><Relationship Id="rId138" Type="http://schemas.openxmlformats.org/officeDocument/2006/relationships/image" Target="../media/image1606.png"/><Relationship Id="rId139" Type="http://schemas.openxmlformats.org/officeDocument/2006/relationships/image" Target="../media/image1607.png"/><Relationship Id="rId140" Type="http://schemas.openxmlformats.org/officeDocument/2006/relationships/image" Target="../media/image1608.png"/><Relationship Id="rId141" Type="http://schemas.openxmlformats.org/officeDocument/2006/relationships/image" Target="../media/image1609.png"/><Relationship Id="rId142" Type="http://schemas.openxmlformats.org/officeDocument/2006/relationships/image" Target="../media/image1482.png"/><Relationship Id="rId143" Type="http://schemas.openxmlformats.org/officeDocument/2006/relationships/image" Target="../media/image1482.png"/><Relationship Id="rId144" Type="http://schemas.openxmlformats.org/officeDocument/2006/relationships/image" Target="../media/image1610.png"/><Relationship Id="rId145" Type="http://schemas.openxmlformats.org/officeDocument/2006/relationships/image" Target="../media/image1611.png"/><Relationship Id="rId146" Type="http://schemas.openxmlformats.org/officeDocument/2006/relationships/image" Target="../media/image1612.png"/><Relationship Id="rId147" Type="http://schemas.openxmlformats.org/officeDocument/2006/relationships/image" Target="../media/image1613.png"/><Relationship Id="rId148" Type="http://schemas.openxmlformats.org/officeDocument/2006/relationships/image" Target="../media/image1614.png"/><Relationship Id="rId149" Type="http://schemas.openxmlformats.org/officeDocument/2006/relationships/image" Target="../media/image1615.png"/><Relationship Id="rId150" Type="http://schemas.openxmlformats.org/officeDocument/2006/relationships/image" Target="../media/image1616.png"/><Relationship Id="rId151" Type="http://schemas.openxmlformats.org/officeDocument/2006/relationships/image" Target="../media/image1617.png"/><Relationship Id="rId152" Type="http://schemas.openxmlformats.org/officeDocument/2006/relationships/image" Target="../media/image1618.png"/><Relationship Id="rId153" Type="http://schemas.openxmlformats.org/officeDocument/2006/relationships/image" Target="../media/image1619.png"/><Relationship Id="rId154" Type="http://schemas.openxmlformats.org/officeDocument/2006/relationships/image" Target="../media/image1620.png"/><Relationship Id="rId155" Type="http://schemas.openxmlformats.org/officeDocument/2006/relationships/image" Target="../media/image1621.png"/><Relationship Id="rId156" Type="http://schemas.openxmlformats.org/officeDocument/2006/relationships/image" Target="../media/image1622.png"/><Relationship Id="rId157" Type="http://schemas.openxmlformats.org/officeDocument/2006/relationships/image" Target="../media/image1623.png"/><Relationship Id="rId158" Type="http://schemas.openxmlformats.org/officeDocument/2006/relationships/image" Target="../media/image1624.png"/><Relationship Id="rId159" Type="http://schemas.openxmlformats.org/officeDocument/2006/relationships/image" Target="../media/image1625.png"/><Relationship Id="rId160" Type="http://schemas.openxmlformats.org/officeDocument/2006/relationships/image" Target="../media/image1626.png"/><Relationship Id="rId161" Type="http://schemas.openxmlformats.org/officeDocument/2006/relationships/image" Target="../media/image1627.png"/><Relationship Id="rId162" Type="http://schemas.openxmlformats.org/officeDocument/2006/relationships/image" Target="../media/image1628.png"/><Relationship Id="rId163" Type="http://schemas.openxmlformats.org/officeDocument/2006/relationships/image" Target="../media/image1629.png"/><Relationship Id="rId164" Type="http://schemas.openxmlformats.org/officeDocument/2006/relationships/image" Target="../media/image1630.png"/><Relationship Id="rId165" Type="http://schemas.openxmlformats.org/officeDocument/2006/relationships/image" Target="../media/image1631.png"/><Relationship Id="rId166" Type="http://schemas.openxmlformats.org/officeDocument/2006/relationships/image" Target="../media/image1632.png"/><Relationship Id="rId167" Type="http://schemas.openxmlformats.org/officeDocument/2006/relationships/image" Target="../media/image1633.png"/><Relationship Id="rId168" Type="http://schemas.openxmlformats.org/officeDocument/2006/relationships/image" Target="../media/image1634.png"/><Relationship Id="rId169" Type="http://schemas.openxmlformats.org/officeDocument/2006/relationships/image" Target="../media/image1635.png"/><Relationship Id="rId170" Type="http://schemas.openxmlformats.org/officeDocument/2006/relationships/image" Target="../media/image1636.png"/><Relationship Id="rId171" Type="http://schemas.openxmlformats.org/officeDocument/2006/relationships/image" Target="../media/image1637.png"/><Relationship Id="rId172" Type="http://schemas.openxmlformats.org/officeDocument/2006/relationships/image" Target="../media/image1638.png"/><Relationship Id="rId173" Type="http://schemas.openxmlformats.org/officeDocument/2006/relationships/image" Target="../media/image1639.png"/><Relationship Id="rId174" Type="http://schemas.openxmlformats.org/officeDocument/2006/relationships/image" Target="../media/image1640.png"/><Relationship Id="rId175" Type="http://schemas.openxmlformats.org/officeDocument/2006/relationships/image" Target="../media/image1641.png"/><Relationship Id="rId176" Type="http://schemas.openxmlformats.org/officeDocument/2006/relationships/image" Target="../media/image1642.png"/><Relationship Id="rId177" Type="http://schemas.openxmlformats.org/officeDocument/2006/relationships/image" Target="../media/image1643.png"/><Relationship Id="rId178" Type="http://schemas.openxmlformats.org/officeDocument/2006/relationships/image" Target="../media/image1644.png"/><Relationship Id="rId179" Type="http://schemas.openxmlformats.org/officeDocument/2006/relationships/image" Target="../media/image1645.png"/><Relationship Id="rId180" Type="http://schemas.openxmlformats.org/officeDocument/2006/relationships/image" Target="../media/image1646.png"/><Relationship Id="rId181" Type="http://schemas.openxmlformats.org/officeDocument/2006/relationships/image" Target="../media/image1647.png"/><Relationship Id="rId182" Type="http://schemas.openxmlformats.org/officeDocument/2006/relationships/image" Target="../media/image1648.png"/><Relationship Id="rId183" Type="http://schemas.openxmlformats.org/officeDocument/2006/relationships/image" Target="../media/image1649.png"/><Relationship Id="rId184" Type="http://schemas.openxmlformats.org/officeDocument/2006/relationships/image" Target="../media/image1650.png"/><Relationship Id="rId185" Type="http://schemas.openxmlformats.org/officeDocument/2006/relationships/image" Target="../media/image1651.png"/><Relationship Id="rId186" Type="http://schemas.openxmlformats.org/officeDocument/2006/relationships/image" Target="../media/image1652.png"/><Relationship Id="rId187" Type="http://schemas.openxmlformats.org/officeDocument/2006/relationships/image" Target="../media/image1653.png"/><Relationship Id="rId188" Type="http://schemas.openxmlformats.org/officeDocument/2006/relationships/image" Target="../media/image1481.png"/><Relationship Id="rId189" Type="http://schemas.openxmlformats.org/officeDocument/2006/relationships/image" Target="../media/image1654.png"/><Relationship Id="rId190" Type="http://schemas.openxmlformats.org/officeDocument/2006/relationships/image" Target="../media/image1655.png"/><Relationship Id="rId191" Type="http://schemas.openxmlformats.org/officeDocument/2006/relationships/image" Target="../media/image1656.png"/><Relationship Id="rId192" Type="http://schemas.openxmlformats.org/officeDocument/2006/relationships/image" Target="../media/image1657.png"/><Relationship Id="rId193" Type="http://schemas.openxmlformats.org/officeDocument/2006/relationships/image" Target="../media/image1658.png"/><Relationship Id="rId194" Type="http://schemas.openxmlformats.org/officeDocument/2006/relationships/image" Target="../media/image1659.png"/><Relationship Id="rId195" Type="http://schemas.openxmlformats.org/officeDocument/2006/relationships/image" Target="../media/image1481.png"/><Relationship Id="rId196" Type="http://schemas.openxmlformats.org/officeDocument/2006/relationships/image" Target="../media/image1660.png"/><Relationship Id="rId197" Type="http://schemas.openxmlformats.org/officeDocument/2006/relationships/image" Target="../media/image1661.png"/><Relationship Id="rId198" Type="http://schemas.openxmlformats.org/officeDocument/2006/relationships/image" Target="../media/image1662.png"/><Relationship Id="rId199" Type="http://schemas.openxmlformats.org/officeDocument/2006/relationships/image" Target="../media/image1663.png"/><Relationship Id="rId200" Type="http://schemas.openxmlformats.org/officeDocument/2006/relationships/image" Target="../media/image1664.png"/><Relationship Id="rId201" Type="http://schemas.openxmlformats.org/officeDocument/2006/relationships/image" Target="../media/image1665.png"/><Relationship Id="rId202" Type="http://schemas.openxmlformats.org/officeDocument/2006/relationships/image" Target="../media/image1666.png"/><Relationship Id="rId203" Type="http://schemas.openxmlformats.org/officeDocument/2006/relationships/image" Target="../media/image1667.png"/><Relationship Id="rId204" Type="http://schemas.openxmlformats.org/officeDocument/2006/relationships/image" Target="../media/image1668.png"/><Relationship Id="rId205" Type="http://schemas.openxmlformats.org/officeDocument/2006/relationships/image" Target="../media/image1669.png"/><Relationship Id="rId206" Type="http://schemas.openxmlformats.org/officeDocument/2006/relationships/image" Target="../media/image1670.png"/><Relationship Id="rId207" Type="http://schemas.openxmlformats.org/officeDocument/2006/relationships/image" Target="../media/image1671.png"/><Relationship Id="rId208" Type="http://schemas.openxmlformats.org/officeDocument/2006/relationships/image" Target="../media/image1672.png"/><Relationship Id="rId209" Type="http://schemas.openxmlformats.org/officeDocument/2006/relationships/image" Target="../media/image1673.png"/><Relationship Id="rId210" Type="http://schemas.openxmlformats.org/officeDocument/2006/relationships/image" Target="../media/image1674.png"/><Relationship Id="rId211" Type="http://schemas.openxmlformats.org/officeDocument/2006/relationships/image" Target="../media/image1675.png"/><Relationship Id="rId212" Type="http://schemas.openxmlformats.org/officeDocument/2006/relationships/image" Target="../media/image1676.png"/><Relationship Id="rId213" Type="http://schemas.openxmlformats.org/officeDocument/2006/relationships/image" Target="../media/image1677.png"/><Relationship Id="rId214" Type="http://schemas.openxmlformats.org/officeDocument/2006/relationships/image" Target="../media/image1678.png"/><Relationship Id="rId215" Type="http://schemas.openxmlformats.org/officeDocument/2006/relationships/image" Target="../media/image1679.png"/><Relationship Id="rId216" Type="http://schemas.openxmlformats.org/officeDocument/2006/relationships/image" Target="../media/image1680.png"/><Relationship Id="rId217" Type="http://schemas.openxmlformats.org/officeDocument/2006/relationships/image" Target="../media/image1681.png"/><Relationship Id="rId218" Type="http://schemas.openxmlformats.org/officeDocument/2006/relationships/image" Target="../media/image1682.png"/><Relationship Id="rId219" Type="http://schemas.openxmlformats.org/officeDocument/2006/relationships/image" Target="../media/image1683.png"/><Relationship Id="rId220" Type="http://schemas.openxmlformats.org/officeDocument/2006/relationships/image" Target="../media/image1684.png"/><Relationship Id="rId221" Type="http://schemas.openxmlformats.org/officeDocument/2006/relationships/image" Target="../media/image1685.png"/><Relationship Id="rId222" Type="http://schemas.openxmlformats.org/officeDocument/2006/relationships/image" Target="../media/image1686.png"/><Relationship Id="rId223" Type="http://schemas.openxmlformats.org/officeDocument/2006/relationships/image" Target="../media/image1687.png"/><Relationship Id="rId224" Type="http://schemas.openxmlformats.org/officeDocument/2006/relationships/image" Target="../media/image1688.png"/><Relationship Id="rId225" Type="http://schemas.openxmlformats.org/officeDocument/2006/relationships/image" Target="../media/image1689.png"/><Relationship Id="rId226" Type="http://schemas.openxmlformats.org/officeDocument/2006/relationships/image" Target="../media/image1690.png"/><Relationship Id="rId227" Type="http://schemas.openxmlformats.org/officeDocument/2006/relationships/image" Target="../media/image1691.png"/><Relationship Id="rId228" Type="http://schemas.openxmlformats.org/officeDocument/2006/relationships/image" Target="../media/image1692.png"/><Relationship Id="rId229" Type="http://schemas.openxmlformats.org/officeDocument/2006/relationships/image" Target="../media/image1693.png"/><Relationship Id="rId230" Type="http://schemas.openxmlformats.org/officeDocument/2006/relationships/image" Target="../media/image1694.png"/><Relationship Id="rId231" Type="http://schemas.openxmlformats.org/officeDocument/2006/relationships/image" Target="../media/image1695.png"/><Relationship Id="rId232" Type="http://schemas.openxmlformats.org/officeDocument/2006/relationships/image" Target="../media/image1696.png"/><Relationship Id="rId233" Type="http://schemas.openxmlformats.org/officeDocument/2006/relationships/image" Target="../media/image1697.png"/><Relationship Id="rId234" Type="http://schemas.openxmlformats.org/officeDocument/2006/relationships/image" Target="../media/image1698.png"/><Relationship Id="rId235" Type="http://schemas.openxmlformats.org/officeDocument/2006/relationships/image" Target="../media/image1699.png"/><Relationship Id="rId236" Type="http://schemas.openxmlformats.org/officeDocument/2006/relationships/image" Target="../media/image1700.png"/><Relationship Id="rId237" Type="http://schemas.openxmlformats.org/officeDocument/2006/relationships/image" Target="../media/image1701.png"/><Relationship Id="rId238" Type="http://schemas.openxmlformats.org/officeDocument/2006/relationships/image" Target="../media/image1702.png"/><Relationship Id="rId239" Type="http://schemas.openxmlformats.org/officeDocument/2006/relationships/image" Target="../media/image1703.png"/><Relationship Id="rId240" Type="http://schemas.openxmlformats.org/officeDocument/2006/relationships/image" Target="../media/image1704.png"/><Relationship Id="rId241" Type="http://schemas.openxmlformats.org/officeDocument/2006/relationships/image" Target="../media/image1705.png"/><Relationship Id="rId242" Type="http://schemas.openxmlformats.org/officeDocument/2006/relationships/image" Target="../media/image1706.png"/><Relationship Id="rId243" Type="http://schemas.openxmlformats.org/officeDocument/2006/relationships/image" Target="../media/image1707.png"/><Relationship Id="rId244" Type="http://schemas.openxmlformats.org/officeDocument/2006/relationships/image" Target="../media/image1708.png"/><Relationship Id="rId245" Type="http://schemas.openxmlformats.org/officeDocument/2006/relationships/image" Target="../media/image1709.png"/><Relationship Id="rId246" Type="http://schemas.openxmlformats.org/officeDocument/2006/relationships/image" Target="../media/image1710.png"/><Relationship Id="rId247" Type="http://schemas.openxmlformats.org/officeDocument/2006/relationships/image" Target="../media/image1711.png"/><Relationship Id="rId248" Type="http://schemas.openxmlformats.org/officeDocument/2006/relationships/image" Target="../media/image1712.png"/><Relationship Id="rId249" Type="http://schemas.openxmlformats.org/officeDocument/2006/relationships/image" Target="../media/image1713.png"/><Relationship Id="rId250" Type="http://schemas.openxmlformats.org/officeDocument/2006/relationships/image" Target="../media/image1714.png"/><Relationship Id="rId251" Type="http://schemas.openxmlformats.org/officeDocument/2006/relationships/image" Target="../media/image1715.png"/><Relationship Id="rId252" Type="http://schemas.openxmlformats.org/officeDocument/2006/relationships/image" Target="../media/image1716.png"/><Relationship Id="rId253" Type="http://schemas.openxmlformats.org/officeDocument/2006/relationships/image" Target="../media/image1717.png"/><Relationship Id="rId254" Type="http://schemas.openxmlformats.org/officeDocument/2006/relationships/image" Target="../media/image1718.png"/><Relationship Id="rId255" Type="http://schemas.openxmlformats.org/officeDocument/2006/relationships/image" Target="../media/image1719.png"/><Relationship Id="rId256" Type="http://schemas.openxmlformats.org/officeDocument/2006/relationships/image" Target="../media/image1720.png"/><Relationship Id="rId257" Type="http://schemas.openxmlformats.org/officeDocument/2006/relationships/image" Target="../media/image1721.png"/><Relationship Id="rId258" Type="http://schemas.openxmlformats.org/officeDocument/2006/relationships/image" Target="../media/image1722.png"/><Relationship Id="rId259" Type="http://schemas.openxmlformats.org/officeDocument/2006/relationships/image" Target="../media/image1723.png"/><Relationship Id="rId260" Type="http://schemas.openxmlformats.org/officeDocument/2006/relationships/image" Target="../media/image1724.png"/><Relationship Id="rId261" Type="http://schemas.openxmlformats.org/officeDocument/2006/relationships/image" Target="../media/image1725.png"/><Relationship Id="rId262" Type="http://schemas.openxmlformats.org/officeDocument/2006/relationships/image" Target="../media/image1726.png"/><Relationship Id="rId263" Type="http://schemas.openxmlformats.org/officeDocument/2006/relationships/image" Target="../media/image1727.png"/><Relationship Id="rId264" Type="http://schemas.openxmlformats.org/officeDocument/2006/relationships/image" Target="../media/image1728.png"/><Relationship Id="rId265" Type="http://schemas.openxmlformats.org/officeDocument/2006/relationships/image" Target="../media/image1729.png"/><Relationship Id="rId266" Type="http://schemas.openxmlformats.org/officeDocument/2006/relationships/image" Target="../media/image1730.png"/><Relationship Id="rId267" Type="http://schemas.openxmlformats.org/officeDocument/2006/relationships/image" Target="../media/image1731.png"/><Relationship Id="rId268" Type="http://schemas.openxmlformats.org/officeDocument/2006/relationships/image" Target="../media/image1732.png"/><Relationship Id="rId269" Type="http://schemas.openxmlformats.org/officeDocument/2006/relationships/image" Target="../media/image1733.png"/><Relationship Id="rId270" Type="http://schemas.openxmlformats.org/officeDocument/2006/relationships/image" Target="../media/image1734.png"/><Relationship Id="rId271" Type="http://schemas.openxmlformats.org/officeDocument/2006/relationships/image" Target="../media/image1735.png"/><Relationship Id="rId272" Type="http://schemas.openxmlformats.org/officeDocument/2006/relationships/image" Target="../media/image1736.png"/><Relationship Id="rId273" Type="http://schemas.openxmlformats.org/officeDocument/2006/relationships/image" Target="../media/image1737.png"/><Relationship Id="rId274" Type="http://schemas.openxmlformats.org/officeDocument/2006/relationships/image" Target="../media/image1738.png"/><Relationship Id="rId275" Type="http://schemas.openxmlformats.org/officeDocument/2006/relationships/image" Target="../media/image1739.png"/><Relationship Id="rId276" Type="http://schemas.openxmlformats.org/officeDocument/2006/relationships/image" Target="../media/image1740.png"/><Relationship Id="rId277" Type="http://schemas.openxmlformats.org/officeDocument/2006/relationships/image" Target="../media/image1741.png"/><Relationship Id="rId278" Type="http://schemas.openxmlformats.org/officeDocument/2006/relationships/image" Target="../media/image1742.png"/><Relationship Id="rId279" Type="http://schemas.openxmlformats.org/officeDocument/2006/relationships/image" Target="../media/image1743.png"/><Relationship Id="rId280" Type="http://schemas.openxmlformats.org/officeDocument/2006/relationships/image" Target="../media/image1744.png"/><Relationship Id="rId281" Type="http://schemas.openxmlformats.org/officeDocument/2006/relationships/image" Target="../media/image1745.png"/><Relationship Id="rId282" Type="http://schemas.openxmlformats.org/officeDocument/2006/relationships/image" Target="../media/image1746.png"/><Relationship Id="rId283" Type="http://schemas.openxmlformats.org/officeDocument/2006/relationships/image" Target="../media/image1747.png"/><Relationship Id="rId284" Type="http://schemas.openxmlformats.org/officeDocument/2006/relationships/image" Target="../media/image1748.png"/><Relationship Id="rId285" Type="http://schemas.openxmlformats.org/officeDocument/2006/relationships/image" Target="../media/image1749.png"/><Relationship Id="rId286" Type="http://schemas.openxmlformats.org/officeDocument/2006/relationships/image" Target="../media/image1750.png"/><Relationship Id="rId287" Type="http://schemas.openxmlformats.org/officeDocument/2006/relationships/image" Target="../media/image1751.png"/><Relationship Id="rId288" Type="http://schemas.openxmlformats.org/officeDocument/2006/relationships/image" Target="../media/image1752.png"/><Relationship Id="rId289" Type="http://schemas.openxmlformats.org/officeDocument/2006/relationships/image" Target="../media/image1753.png"/><Relationship Id="rId290" Type="http://schemas.openxmlformats.org/officeDocument/2006/relationships/image" Target="../media/image1754.png"/><Relationship Id="rId291" Type="http://schemas.openxmlformats.org/officeDocument/2006/relationships/image" Target="../media/image1755.png"/><Relationship Id="rId292" Type="http://schemas.openxmlformats.org/officeDocument/2006/relationships/image" Target="../media/image1756.png"/><Relationship Id="rId293" Type="http://schemas.openxmlformats.org/officeDocument/2006/relationships/image" Target="../media/image1757.png"/><Relationship Id="rId294" Type="http://schemas.openxmlformats.org/officeDocument/2006/relationships/image" Target="../media/image1758.png"/><Relationship Id="rId295" Type="http://schemas.openxmlformats.org/officeDocument/2006/relationships/image" Target="../media/image1759.png"/><Relationship Id="rId296" Type="http://schemas.openxmlformats.org/officeDocument/2006/relationships/image" Target="../media/image1760.png"/><Relationship Id="rId297" Type="http://schemas.openxmlformats.org/officeDocument/2006/relationships/image" Target="../media/image1761.png"/><Relationship Id="rId298" Type="http://schemas.openxmlformats.org/officeDocument/2006/relationships/image" Target="../media/image1762.png"/><Relationship Id="rId299" Type="http://schemas.openxmlformats.org/officeDocument/2006/relationships/image" Target="../media/image1763.png"/><Relationship Id="rId300" Type="http://schemas.openxmlformats.org/officeDocument/2006/relationships/image" Target="../media/image1764.png"/><Relationship Id="rId301" Type="http://schemas.openxmlformats.org/officeDocument/2006/relationships/image" Target="../media/image1765.png"/><Relationship Id="rId302" Type="http://schemas.openxmlformats.org/officeDocument/2006/relationships/image" Target="../media/image1766.png"/><Relationship Id="rId303" Type="http://schemas.openxmlformats.org/officeDocument/2006/relationships/image" Target="../media/image1767.png"/><Relationship Id="rId304" Type="http://schemas.openxmlformats.org/officeDocument/2006/relationships/image" Target="../media/image1768.png"/><Relationship Id="rId305" Type="http://schemas.openxmlformats.org/officeDocument/2006/relationships/image" Target="../media/image1769.png"/><Relationship Id="rId306" Type="http://schemas.openxmlformats.org/officeDocument/2006/relationships/image" Target="../media/image1770.png"/><Relationship Id="rId307" Type="http://schemas.openxmlformats.org/officeDocument/2006/relationships/image" Target="../media/image1771.png"/><Relationship Id="rId308" Type="http://schemas.openxmlformats.org/officeDocument/2006/relationships/image" Target="../media/image1772.png"/><Relationship Id="rId309" Type="http://schemas.openxmlformats.org/officeDocument/2006/relationships/image" Target="../media/image1773.png"/><Relationship Id="rId310" Type="http://schemas.openxmlformats.org/officeDocument/2006/relationships/image" Target="../media/image1774.png"/><Relationship Id="rId311" Type="http://schemas.openxmlformats.org/officeDocument/2006/relationships/image" Target="../media/image1775.png"/><Relationship Id="rId312" Type="http://schemas.openxmlformats.org/officeDocument/2006/relationships/image" Target="../media/image1776.png"/><Relationship Id="rId313" Type="http://schemas.openxmlformats.org/officeDocument/2006/relationships/image" Target="../media/image1777.png"/><Relationship Id="rId314" Type="http://schemas.openxmlformats.org/officeDocument/2006/relationships/image" Target="../media/image1778.png"/><Relationship Id="rId315" Type="http://schemas.openxmlformats.org/officeDocument/2006/relationships/image" Target="../media/image1779.png"/><Relationship Id="rId316" Type="http://schemas.openxmlformats.org/officeDocument/2006/relationships/image" Target="../media/image1780.png"/><Relationship Id="rId317" Type="http://schemas.openxmlformats.org/officeDocument/2006/relationships/image" Target="../media/image1781.png"/><Relationship Id="rId318" Type="http://schemas.openxmlformats.org/officeDocument/2006/relationships/image" Target="../media/image1782.png"/><Relationship Id="rId319" Type="http://schemas.openxmlformats.org/officeDocument/2006/relationships/image" Target="../media/image1783.png"/><Relationship Id="rId320" Type="http://schemas.openxmlformats.org/officeDocument/2006/relationships/image" Target="../media/image1784.png"/><Relationship Id="rId321" Type="http://schemas.openxmlformats.org/officeDocument/2006/relationships/image" Target="../media/image1785.png"/><Relationship Id="rId322" Type="http://schemas.openxmlformats.org/officeDocument/2006/relationships/image" Target="../media/image1786.png"/><Relationship Id="rId323" Type="http://schemas.openxmlformats.org/officeDocument/2006/relationships/image" Target="../media/image1787.png"/><Relationship Id="rId324" Type="http://schemas.openxmlformats.org/officeDocument/2006/relationships/image" Target="../media/image1788.png"/><Relationship Id="rId325" Type="http://schemas.openxmlformats.org/officeDocument/2006/relationships/image" Target="../media/image1789.png"/><Relationship Id="rId326" Type="http://schemas.openxmlformats.org/officeDocument/2006/relationships/image" Target="../media/image1790.png"/><Relationship Id="rId327" Type="http://schemas.openxmlformats.org/officeDocument/2006/relationships/image" Target="../media/image1791.png"/><Relationship Id="rId328" Type="http://schemas.openxmlformats.org/officeDocument/2006/relationships/image" Target="../media/image1792.png"/><Relationship Id="rId329" Type="http://schemas.openxmlformats.org/officeDocument/2006/relationships/image" Target="../media/image1793.png"/><Relationship Id="rId330" Type="http://schemas.openxmlformats.org/officeDocument/2006/relationships/image" Target="../media/image1794.png"/><Relationship Id="rId331" Type="http://schemas.openxmlformats.org/officeDocument/2006/relationships/image" Target="../media/image1795.png"/><Relationship Id="rId332" Type="http://schemas.openxmlformats.org/officeDocument/2006/relationships/image" Target="../media/image1796.png"/><Relationship Id="rId333" Type="http://schemas.openxmlformats.org/officeDocument/2006/relationships/image" Target="../media/image1797.png"/><Relationship Id="rId334" Type="http://schemas.openxmlformats.org/officeDocument/2006/relationships/image" Target="../media/image1798.png"/><Relationship Id="rId335" Type="http://schemas.openxmlformats.org/officeDocument/2006/relationships/image" Target="../media/image1799.png"/><Relationship Id="rId336" Type="http://schemas.openxmlformats.org/officeDocument/2006/relationships/image" Target="../media/image1800.png"/><Relationship Id="rId337" Type="http://schemas.openxmlformats.org/officeDocument/2006/relationships/image" Target="../media/image1801.png"/><Relationship Id="rId338" Type="http://schemas.openxmlformats.org/officeDocument/2006/relationships/image" Target="../media/image1802.png"/><Relationship Id="rId339" Type="http://schemas.openxmlformats.org/officeDocument/2006/relationships/image" Target="../media/image1803.png"/><Relationship Id="rId340" Type="http://schemas.openxmlformats.org/officeDocument/2006/relationships/image" Target="../media/image1804.png"/><Relationship Id="rId341" Type="http://schemas.openxmlformats.org/officeDocument/2006/relationships/image" Target="../media/image1805.png"/><Relationship Id="rId342" Type="http://schemas.openxmlformats.org/officeDocument/2006/relationships/image" Target="../media/image1806.png"/><Relationship Id="rId343" Type="http://schemas.openxmlformats.org/officeDocument/2006/relationships/image" Target="../media/image1807.png"/><Relationship Id="rId344" Type="http://schemas.openxmlformats.org/officeDocument/2006/relationships/image" Target="../media/image1808.png"/><Relationship Id="rId345" Type="http://schemas.openxmlformats.org/officeDocument/2006/relationships/image" Target="../media/image1809.png"/><Relationship Id="rId346" Type="http://schemas.openxmlformats.org/officeDocument/2006/relationships/image" Target="../media/image1810.png"/><Relationship Id="rId347" Type="http://schemas.openxmlformats.org/officeDocument/2006/relationships/image" Target="../media/image1811.png"/><Relationship Id="rId348" Type="http://schemas.openxmlformats.org/officeDocument/2006/relationships/image" Target="../media/image1812.png"/><Relationship Id="rId349" Type="http://schemas.openxmlformats.org/officeDocument/2006/relationships/image" Target="../media/image1813.png"/><Relationship Id="rId350" Type="http://schemas.openxmlformats.org/officeDocument/2006/relationships/image" Target="../media/image1814.png"/><Relationship Id="rId351" Type="http://schemas.openxmlformats.org/officeDocument/2006/relationships/image" Target="../media/image1815.png"/><Relationship Id="rId352" Type="http://schemas.openxmlformats.org/officeDocument/2006/relationships/image" Target="../media/image1816.png"/><Relationship Id="rId353" Type="http://schemas.openxmlformats.org/officeDocument/2006/relationships/image" Target="../media/image1817.png"/><Relationship Id="rId354" Type="http://schemas.openxmlformats.org/officeDocument/2006/relationships/image" Target="../media/image1818.png"/><Relationship Id="rId355" Type="http://schemas.openxmlformats.org/officeDocument/2006/relationships/image" Target="../media/image1819.png"/><Relationship Id="rId356" Type="http://schemas.openxmlformats.org/officeDocument/2006/relationships/image" Target="../media/image1820.png"/><Relationship Id="rId357" Type="http://schemas.openxmlformats.org/officeDocument/2006/relationships/image" Target="../media/image1821.png"/><Relationship Id="rId358" Type="http://schemas.openxmlformats.org/officeDocument/2006/relationships/image" Target="../media/image1822.png"/><Relationship Id="rId359" Type="http://schemas.openxmlformats.org/officeDocument/2006/relationships/image" Target="../media/image1823.png"/><Relationship Id="rId360" Type="http://schemas.openxmlformats.org/officeDocument/2006/relationships/image" Target="../media/image1824.png"/><Relationship Id="rId361" Type="http://schemas.openxmlformats.org/officeDocument/2006/relationships/image" Target="../media/image1825.png"/><Relationship Id="rId362" Type="http://schemas.openxmlformats.org/officeDocument/2006/relationships/image" Target="../media/image1826.png"/><Relationship Id="rId363" Type="http://schemas.openxmlformats.org/officeDocument/2006/relationships/image" Target="../media/image1827.png"/><Relationship Id="rId364" Type="http://schemas.openxmlformats.org/officeDocument/2006/relationships/image" Target="../media/image1828.png"/><Relationship Id="rId365" Type="http://schemas.openxmlformats.org/officeDocument/2006/relationships/image" Target="../media/image1829.png"/><Relationship Id="rId366" Type="http://schemas.openxmlformats.org/officeDocument/2006/relationships/image" Target="../media/image1830.png"/><Relationship Id="rId367" Type="http://schemas.openxmlformats.org/officeDocument/2006/relationships/image" Target="../media/image1831.png"/><Relationship Id="rId368" Type="http://schemas.openxmlformats.org/officeDocument/2006/relationships/image" Target="../media/image1832.png"/><Relationship Id="rId369" Type="http://schemas.openxmlformats.org/officeDocument/2006/relationships/image" Target="../media/image1833.png"/><Relationship Id="rId370" Type="http://schemas.openxmlformats.org/officeDocument/2006/relationships/image" Target="../media/image1834.png"/><Relationship Id="rId371" Type="http://schemas.openxmlformats.org/officeDocument/2006/relationships/image" Target="../media/image1835.png"/><Relationship Id="rId372" Type="http://schemas.openxmlformats.org/officeDocument/2006/relationships/image" Target="../media/image18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1840.png"/><Relationship Id="rId4" Type="http://schemas.openxmlformats.org/officeDocument/2006/relationships/image" Target="../media/image1841.png"/><Relationship Id="rId5" Type="http://schemas.openxmlformats.org/officeDocument/2006/relationships/image" Target="../media/image1842.png"/><Relationship Id="rId6" Type="http://schemas.openxmlformats.org/officeDocument/2006/relationships/image" Target="../media/image1843.png"/><Relationship Id="rId7" Type="http://schemas.openxmlformats.org/officeDocument/2006/relationships/image" Target="../media/image1844.png"/><Relationship Id="rId8" Type="http://schemas.openxmlformats.org/officeDocument/2006/relationships/image" Target="../media/image1845.png"/><Relationship Id="rId9" Type="http://schemas.openxmlformats.org/officeDocument/2006/relationships/image" Target="../media/image1846.png"/><Relationship Id="rId10" Type="http://schemas.openxmlformats.org/officeDocument/2006/relationships/image" Target="../media/image1847.png"/><Relationship Id="rId11" Type="http://schemas.openxmlformats.org/officeDocument/2006/relationships/image" Target="../media/image1848.png"/><Relationship Id="rId12" Type="http://schemas.openxmlformats.org/officeDocument/2006/relationships/image" Target="../media/image1849.png"/><Relationship Id="rId13" Type="http://schemas.openxmlformats.org/officeDocument/2006/relationships/image" Target="../media/image1850.png"/><Relationship Id="rId14" Type="http://schemas.openxmlformats.org/officeDocument/2006/relationships/image" Target="../media/image1851.png"/><Relationship Id="rId15" Type="http://schemas.openxmlformats.org/officeDocument/2006/relationships/image" Target="../media/image1852.png"/><Relationship Id="rId16" Type="http://schemas.openxmlformats.org/officeDocument/2006/relationships/image" Target="../media/image1853.png"/><Relationship Id="rId17" Type="http://schemas.openxmlformats.org/officeDocument/2006/relationships/image" Target="../media/image1854.png"/><Relationship Id="rId18" Type="http://schemas.openxmlformats.org/officeDocument/2006/relationships/image" Target="../media/image1855.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5</xdr:col>
      <xdr:colOff>54847</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43686</xdr:colOff>
      <xdr:row>12</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43686</xdr:colOff>
      <xdr:row>12</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43686</xdr:colOff>
      <xdr:row>12</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9</xdr:col>
      <xdr:colOff>43686</xdr:colOff>
      <xdr:row>12</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10</xdr:col>
      <xdr:colOff>43686</xdr:colOff>
      <xdr:row>12</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11</xdr:col>
      <xdr:colOff>43686</xdr:colOff>
      <xdr:row>12</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12</xdr:col>
      <xdr:colOff>43686</xdr:colOff>
      <xdr:row>12</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13</xdr:col>
      <xdr:colOff>43686</xdr:colOff>
      <xdr:row>12</xdr:row>
      <xdr:rowOff>22655</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14</xdr:col>
      <xdr:colOff>43686</xdr:colOff>
      <xdr:row>12</xdr:row>
      <xdr:rowOff>22655</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15</xdr:col>
      <xdr:colOff>43686</xdr:colOff>
      <xdr:row>12</xdr:row>
      <xdr:rowOff>22655</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16</xdr:col>
      <xdr:colOff>43686</xdr:colOff>
      <xdr:row>12</xdr:row>
      <xdr:rowOff>22655</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17</xdr:col>
      <xdr:colOff>43686</xdr:colOff>
      <xdr:row>12</xdr:row>
      <xdr:rowOff>22655</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18</xdr:col>
      <xdr:colOff>43686</xdr:colOff>
      <xdr:row>12</xdr:row>
      <xdr:rowOff>22655</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19</xdr:col>
      <xdr:colOff>43686</xdr:colOff>
      <xdr:row>12</xdr:row>
      <xdr:rowOff>22655</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20</xdr:col>
      <xdr:colOff>43686</xdr:colOff>
      <xdr:row>12</xdr:row>
      <xdr:rowOff>22655</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21</xdr:col>
      <xdr:colOff>43686</xdr:colOff>
      <xdr:row>12</xdr:row>
      <xdr:rowOff>22655</xdr:rowOff>
    </xdr:from>
    <xdr:ext cx="2571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22</xdr:col>
      <xdr:colOff>43686</xdr:colOff>
      <xdr:row>12</xdr:row>
      <xdr:rowOff>22655</xdr:rowOff>
    </xdr:from>
    <xdr:ext cx="2571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23</xdr:col>
      <xdr:colOff>43686</xdr:colOff>
      <xdr:row>12</xdr:row>
      <xdr:rowOff>22655</xdr:rowOff>
    </xdr:from>
    <xdr:ext cx="2571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24</xdr:col>
      <xdr:colOff>43686</xdr:colOff>
      <xdr:row>12</xdr:row>
      <xdr:rowOff>22655</xdr:rowOff>
    </xdr:from>
    <xdr:ext cx="2571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25</xdr:col>
      <xdr:colOff>43686</xdr:colOff>
      <xdr:row>12</xdr:row>
      <xdr:rowOff>22655</xdr:rowOff>
    </xdr:from>
    <xdr:ext cx="2571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41</xdr:col>
      <xdr:colOff>42624</xdr:colOff>
      <xdr:row>12</xdr:row>
      <xdr:rowOff>22655</xdr:rowOff>
    </xdr:from>
    <xdr:ext cx="6477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5</xdr:col>
      <xdr:colOff>54847</xdr:colOff>
      <xdr:row>13</xdr:row>
      <xdr:rowOff>22655</xdr:rowOff>
    </xdr:from>
    <xdr:ext cx="2571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6</xdr:col>
      <xdr:colOff>43686</xdr:colOff>
      <xdr:row>13</xdr:row>
      <xdr:rowOff>22655</xdr:rowOff>
    </xdr:from>
    <xdr:ext cx="2571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43686</xdr:colOff>
      <xdr:row>13</xdr:row>
      <xdr:rowOff>22655</xdr:rowOff>
    </xdr:from>
    <xdr:ext cx="2571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43686</xdr:colOff>
      <xdr:row>13</xdr:row>
      <xdr:rowOff>22655</xdr:rowOff>
    </xdr:from>
    <xdr:ext cx="2571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43686</xdr:colOff>
      <xdr:row>13</xdr:row>
      <xdr:rowOff>22655</xdr:rowOff>
    </xdr:from>
    <xdr:ext cx="2571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43686</xdr:colOff>
      <xdr:row>13</xdr:row>
      <xdr:rowOff>22655</xdr:rowOff>
    </xdr:from>
    <xdr:ext cx="2571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43686</xdr:colOff>
      <xdr:row>13</xdr:row>
      <xdr:rowOff>22655</xdr:rowOff>
    </xdr:from>
    <xdr:ext cx="2571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43686</xdr:colOff>
      <xdr:row>13</xdr:row>
      <xdr:rowOff>22655</xdr:rowOff>
    </xdr:from>
    <xdr:ext cx="2571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43686</xdr:colOff>
      <xdr:row>13</xdr:row>
      <xdr:rowOff>22655</xdr:rowOff>
    </xdr:from>
    <xdr:ext cx="2571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43686</xdr:colOff>
      <xdr:row>13</xdr:row>
      <xdr:rowOff>22655</xdr:rowOff>
    </xdr:from>
    <xdr:ext cx="2571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43686</xdr:colOff>
      <xdr:row>13</xdr:row>
      <xdr:rowOff>22655</xdr:rowOff>
    </xdr:from>
    <xdr:ext cx="2571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43686</xdr:colOff>
      <xdr:row>13</xdr:row>
      <xdr:rowOff>22655</xdr:rowOff>
    </xdr:from>
    <xdr:ext cx="2571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43686</xdr:colOff>
      <xdr:row>13</xdr:row>
      <xdr:rowOff>22655</xdr:rowOff>
    </xdr:from>
    <xdr:ext cx="2571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43686</xdr:colOff>
      <xdr:row>13</xdr:row>
      <xdr:rowOff>22655</xdr:rowOff>
    </xdr:from>
    <xdr:ext cx="2571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43686</xdr:colOff>
      <xdr:row>13</xdr:row>
      <xdr:rowOff>22655</xdr:rowOff>
    </xdr:from>
    <xdr:ext cx="2571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43686</xdr:colOff>
      <xdr:row>13</xdr:row>
      <xdr:rowOff>22655</xdr:rowOff>
    </xdr:from>
    <xdr:ext cx="2571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43686</xdr:colOff>
      <xdr:row>13</xdr:row>
      <xdr:rowOff>22655</xdr:rowOff>
    </xdr:from>
    <xdr:ext cx="2571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43686</xdr:colOff>
      <xdr:row>13</xdr:row>
      <xdr:rowOff>22655</xdr:rowOff>
    </xdr:from>
    <xdr:ext cx="2571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43686</xdr:colOff>
      <xdr:row>13</xdr:row>
      <xdr:rowOff>22655</xdr:rowOff>
    </xdr:from>
    <xdr:ext cx="2571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43686</xdr:colOff>
      <xdr:row>13</xdr:row>
      <xdr:rowOff>22655</xdr:rowOff>
    </xdr:from>
    <xdr:ext cx="2571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25</xdr:col>
      <xdr:colOff>43686</xdr:colOff>
      <xdr:row>13</xdr:row>
      <xdr:rowOff>22655</xdr:rowOff>
    </xdr:from>
    <xdr:ext cx="2571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41</xdr:col>
      <xdr:colOff>42624</xdr:colOff>
      <xdr:row>13</xdr:row>
      <xdr:rowOff>22655</xdr:rowOff>
    </xdr:from>
    <xdr:ext cx="6477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5</xdr:col>
      <xdr:colOff>54847</xdr:colOff>
      <xdr:row>14</xdr:row>
      <xdr:rowOff>22655</xdr:rowOff>
    </xdr:from>
    <xdr:ext cx="2571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6</xdr:col>
      <xdr:colOff>43686</xdr:colOff>
      <xdr:row>14</xdr:row>
      <xdr:rowOff>22655</xdr:rowOff>
    </xdr:from>
    <xdr:ext cx="2571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7</xdr:col>
      <xdr:colOff>43686</xdr:colOff>
      <xdr:row>14</xdr:row>
      <xdr:rowOff>22655</xdr:rowOff>
    </xdr:from>
    <xdr:ext cx="2571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8</xdr:col>
      <xdr:colOff>43686</xdr:colOff>
      <xdr:row>14</xdr:row>
      <xdr:rowOff>22655</xdr:rowOff>
    </xdr:from>
    <xdr:ext cx="2571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9</xdr:col>
      <xdr:colOff>43686</xdr:colOff>
      <xdr:row>14</xdr:row>
      <xdr:rowOff>22655</xdr:rowOff>
    </xdr:from>
    <xdr:ext cx="2571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10</xdr:col>
      <xdr:colOff>43686</xdr:colOff>
      <xdr:row>14</xdr:row>
      <xdr:rowOff>22655</xdr:rowOff>
    </xdr:from>
    <xdr:ext cx="2571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11</xdr:col>
      <xdr:colOff>43686</xdr:colOff>
      <xdr:row>14</xdr:row>
      <xdr:rowOff>22655</xdr:rowOff>
    </xdr:from>
    <xdr:ext cx="2571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12</xdr:col>
      <xdr:colOff>43686</xdr:colOff>
      <xdr:row>14</xdr:row>
      <xdr:rowOff>22655</xdr:rowOff>
    </xdr:from>
    <xdr:ext cx="2571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13</xdr:col>
      <xdr:colOff>43686</xdr:colOff>
      <xdr:row>14</xdr:row>
      <xdr:rowOff>22655</xdr:rowOff>
    </xdr:from>
    <xdr:ext cx="2571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14</xdr:col>
      <xdr:colOff>43686</xdr:colOff>
      <xdr:row>14</xdr:row>
      <xdr:rowOff>22655</xdr:rowOff>
    </xdr:from>
    <xdr:ext cx="2571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15</xdr:col>
      <xdr:colOff>43686</xdr:colOff>
      <xdr:row>14</xdr:row>
      <xdr:rowOff>22655</xdr:rowOff>
    </xdr:from>
    <xdr:ext cx="2571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16</xdr:col>
      <xdr:colOff>43686</xdr:colOff>
      <xdr:row>14</xdr:row>
      <xdr:rowOff>22655</xdr:rowOff>
    </xdr:from>
    <xdr:ext cx="2571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17</xdr:col>
      <xdr:colOff>43686</xdr:colOff>
      <xdr:row>14</xdr:row>
      <xdr:rowOff>22655</xdr:rowOff>
    </xdr:from>
    <xdr:ext cx="2571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18</xdr:col>
      <xdr:colOff>43686</xdr:colOff>
      <xdr:row>14</xdr:row>
      <xdr:rowOff>22655</xdr:rowOff>
    </xdr:from>
    <xdr:ext cx="2571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19</xdr:col>
      <xdr:colOff>43686</xdr:colOff>
      <xdr:row>14</xdr:row>
      <xdr:rowOff>22655</xdr:rowOff>
    </xdr:from>
    <xdr:ext cx="2571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20</xdr:col>
      <xdr:colOff>43686</xdr:colOff>
      <xdr:row>14</xdr:row>
      <xdr:rowOff>22655</xdr:rowOff>
    </xdr:from>
    <xdr:ext cx="2571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21</xdr:col>
      <xdr:colOff>43686</xdr:colOff>
      <xdr:row>14</xdr:row>
      <xdr:rowOff>22655</xdr:rowOff>
    </xdr:from>
    <xdr:ext cx="2571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22</xdr:col>
      <xdr:colOff>43686</xdr:colOff>
      <xdr:row>14</xdr:row>
      <xdr:rowOff>22655</xdr:rowOff>
    </xdr:from>
    <xdr:ext cx="2571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23</xdr:col>
      <xdr:colOff>43686</xdr:colOff>
      <xdr:row>14</xdr:row>
      <xdr:rowOff>22655</xdr:rowOff>
    </xdr:from>
    <xdr:ext cx="2571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24</xdr:col>
      <xdr:colOff>43686</xdr:colOff>
      <xdr:row>14</xdr:row>
      <xdr:rowOff>22655</xdr:rowOff>
    </xdr:from>
    <xdr:ext cx="2571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25</xdr:col>
      <xdr:colOff>43686</xdr:colOff>
      <xdr:row>14</xdr:row>
      <xdr:rowOff>22655</xdr:rowOff>
    </xdr:from>
    <xdr:ext cx="2571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41</xdr:col>
      <xdr:colOff>42624</xdr:colOff>
      <xdr:row>14</xdr:row>
      <xdr:rowOff>22655</xdr:rowOff>
    </xdr:from>
    <xdr:ext cx="6477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5</xdr:col>
      <xdr:colOff>54847</xdr:colOff>
      <xdr:row>63</xdr:row>
      <xdr:rowOff>22655</xdr:rowOff>
    </xdr:from>
    <xdr:ext cx="2571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6</xdr:col>
      <xdr:colOff>43686</xdr:colOff>
      <xdr:row>63</xdr:row>
      <xdr:rowOff>22655</xdr:rowOff>
    </xdr:from>
    <xdr:ext cx="2571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7</xdr:col>
      <xdr:colOff>43686</xdr:colOff>
      <xdr:row>63</xdr:row>
      <xdr:rowOff>22655</xdr:rowOff>
    </xdr:from>
    <xdr:ext cx="2571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8</xdr:col>
      <xdr:colOff>43686</xdr:colOff>
      <xdr:row>63</xdr:row>
      <xdr:rowOff>22655</xdr:rowOff>
    </xdr:from>
    <xdr:ext cx="2571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9</xdr:col>
      <xdr:colOff>43686</xdr:colOff>
      <xdr:row>63</xdr:row>
      <xdr:rowOff>22655</xdr:rowOff>
    </xdr:from>
    <xdr:ext cx="2571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10</xdr:col>
      <xdr:colOff>43686</xdr:colOff>
      <xdr:row>63</xdr:row>
      <xdr:rowOff>22655</xdr:rowOff>
    </xdr:from>
    <xdr:ext cx="2571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11</xdr:col>
      <xdr:colOff>43686</xdr:colOff>
      <xdr:row>63</xdr:row>
      <xdr:rowOff>22655</xdr:rowOff>
    </xdr:from>
    <xdr:ext cx="2571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12</xdr:col>
      <xdr:colOff>43686</xdr:colOff>
      <xdr:row>63</xdr:row>
      <xdr:rowOff>22655</xdr:rowOff>
    </xdr:from>
    <xdr:ext cx="2571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13</xdr:col>
      <xdr:colOff>43686</xdr:colOff>
      <xdr:row>63</xdr:row>
      <xdr:rowOff>22655</xdr:rowOff>
    </xdr:from>
    <xdr:ext cx="2571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14</xdr:col>
      <xdr:colOff>43686</xdr:colOff>
      <xdr:row>63</xdr:row>
      <xdr:rowOff>22655</xdr:rowOff>
    </xdr:from>
    <xdr:ext cx="2571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15</xdr:col>
      <xdr:colOff>43686</xdr:colOff>
      <xdr:row>63</xdr:row>
      <xdr:rowOff>22655</xdr:rowOff>
    </xdr:from>
    <xdr:ext cx="2571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16</xdr:col>
      <xdr:colOff>43686</xdr:colOff>
      <xdr:row>63</xdr:row>
      <xdr:rowOff>22655</xdr:rowOff>
    </xdr:from>
    <xdr:ext cx="2571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17</xdr:col>
      <xdr:colOff>43686</xdr:colOff>
      <xdr:row>63</xdr:row>
      <xdr:rowOff>22655</xdr:rowOff>
    </xdr:from>
    <xdr:ext cx="2571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18</xdr:col>
      <xdr:colOff>43686</xdr:colOff>
      <xdr:row>63</xdr:row>
      <xdr:rowOff>22655</xdr:rowOff>
    </xdr:from>
    <xdr:ext cx="2571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19</xdr:col>
      <xdr:colOff>43686</xdr:colOff>
      <xdr:row>63</xdr:row>
      <xdr:rowOff>22655</xdr:rowOff>
    </xdr:from>
    <xdr:ext cx="2571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20</xdr:col>
      <xdr:colOff>43686</xdr:colOff>
      <xdr:row>63</xdr:row>
      <xdr:rowOff>22655</xdr:rowOff>
    </xdr:from>
    <xdr:ext cx="2571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21</xdr:col>
      <xdr:colOff>43686</xdr:colOff>
      <xdr:row>63</xdr:row>
      <xdr:rowOff>22655</xdr:rowOff>
    </xdr:from>
    <xdr:ext cx="2571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22</xdr:col>
      <xdr:colOff>43686</xdr:colOff>
      <xdr:row>63</xdr:row>
      <xdr:rowOff>22655</xdr:rowOff>
    </xdr:from>
    <xdr:ext cx="2571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23</xdr:col>
      <xdr:colOff>43686</xdr:colOff>
      <xdr:row>63</xdr:row>
      <xdr:rowOff>22655</xdr:rowOff>
    </xdr:from>
    <xdr:ext cx="2571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24</xdr:col>
      <xdr:colOff>43686</xdr:colOff>
      <xdr:row>63</xdr:row>
      <xdr:rowOff>22655</xdr:rowOff>
    </xdr:from>
    <xdr:ext cx="2571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25</xdr:col>
      <xdr:colOff>43686</xdr:colOff>
      <xdr:row>63</xdr:row>
      <xdr:rowOff>22655</xdr:rowOff>
    </xdr:from>
    <xdr:ext cx="2571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41</xdr:col>
      <xdr:colOff>42624</xdr:colOff>
      <xdr:row>63</xdr:row>
      <xdr:rowOff>22655</xdr:rowOff>
    </xdr:from>
    <xdr:ext cx="6477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5</xdr:col>
      <xdr:colOff>54847</xdr:colOff>
      <xdr:row>64</xdr:row>
      <xdr:rowOff>22655</xdr:rowOff>
    </xdr:from>
    <xdr:ext cx="2571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6</xdr:col>
      <xdr:colOff>43686</xdr:colOff>
      <xdr:row>64</xdr:row>
      <xdr:rowOff>22655</xdr:rowOff>
    </xdr:from>
    <xdr:ext cx="2571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7</xdr:col>
      <xdr:colOff>43686</xdr:colOff>
      <xdr:row>64</xdr:row>
      <xdr:rowOff>22655</xdr:rowOff>
    </xdr:from>
    <xdr:ext cx="2571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8</xdr:col>
      <xdr:colOff>43686</xdr:colOff>
      <xdr:row>64</xdr:row>
      <xdr:rowOff>22655</xdr:rowOff>
    </xdr:from>
    <xdr:ext cx="2571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9</xdr:col>
      <xdr:colOff>43686</xdr:colOff>
      <xdr:row>64</xdr:row>
      <xdr:rowOff>22655</xdr:rowOff>
    </xdr:from>
    <xdr:ext cx="2571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10</xdr:col>
      <xdr:colOff>43686</xdr:colOff>
      <xdr:row>64</xdr:row>
      <xdr:rowOff>22655</xdr:rowOff>
    </xdr:from>
    <xdr:ext cx="2571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11</xdr:col>
      <xdr:colOff>43686</xdr:colOff>
      <xdr:row>64</xdr:row>
      <xdr:rowOff>22655</xdr:rowOff>
    </xdr:from>
    <xdr:ext cx="2571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12</xdr:col>
      <xdr:colOff>43686</xdr:colOff>
      <xdr:row>64</xdr:row>
      <xdr:rowOff>22655</xdr:rowOff>
    </xdr:from>
    <xdr:ext cx="2571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13</xdr:col>
      <xdr:colOff>43686</xdr:colOff>
      <xdr:row>64</xdr:row>
      <xdr:rowOff>22655</xdr:rowOff>
    </xdr:from>
    <xdr:ext cx="2571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14</xdr:col>
      <xdr:colOff>43686</xdr:colOff>
      <xdr:row>64</xdr:row>
      <xdr:rowOff>22655</xdr:rowOff>
    </xdr:from>
    <xdr:ext cx="2571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15</xdr:col>
      <xdr:colOff>43686</xdr:colOff>
      <xdr:row>64</xdr:row>
      <xdr:rowOff>22655</xdr:rowOff>
    </xdr:from>
    <xdr:ext cx="2571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16</xdr:col>
      <xdr:colOff>43686</xdr:colOff>
      <xdr:row>64</xdr:row>
      <xdr:rowOff>22655</xdr:rowOff>
    </xdr:from>
    <xdr:ext cx="2571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17</xdr:col>
      <xdr:colOff>43686</xdr:colOff>
      <xdr:row>64</xdr:row>
      <xdr:rowOff>22655</xdr:rowOff>
    </xdr:from>
    <xdr:ext cx="2571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18</xdr:col>
      <xdr:colOff>43686</xdr:colOff>
      <xdr:row>64</xdr:row>
      <xdr:rowOff>22655</xdr:rowOff>
    </xdr:from>
    <xdr:ext cx="2571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19</xdr:col>
      <xdr:colOff>43686</xdr:colOff>
      <xdr:row>64</xdr:row>
      <xdr:rowOff>22655</xdr:rowOff>
    </xdr:from>
    <xdr:ext cx="2571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20</xdr:col>
      <xdr:colOff>43686</xdr:colOff>
      <xdr:row>64</xdr:row>
      <xdr:rowOff>22655</xdr:rowOff>
    </xdr:from>
    <xdr:ext cx="2571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21</xdr:col>
      <xdr:colOff>43686</xdr:colOff>
      <xdr:row>64</xdr:row>
      <xdr:rowOff>22655</xdr:rowOff>
    </xdr:from>
    <xdr:ext cx="2571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22</xdr:col>
      <xdr:colOff>43686</xdr:colOff>
      <xdr:row>64</xdr:row>
      <xdr:rowOff>22655</xdr:rowOff>
    </xdr:from>
    <xdr:ext cx="2571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23</xdr:col>
      <xdr:colOff>43686</xdr:colOff>
      <xdr:row>64</xdr:row>
      <xdr:rowOff>22655</xdr:rowOff>
    </xdr:from>
    <xdr:ext cx="2571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24</xdr:col>
      <xdr:colOff>43686</xdr:colOff>
      <xdr:row>64</xdr:row>
      <xdr:rowOff>22655</xdr:rowOff>
    </xdr:from>
    <xdr:ext cx="2571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25</xdr:col>
      <xdr:colOff>43686</xdr:colOff>
      <xdr:row>64</xdr:row>
      <xdr:rowOff>22655</xdr:rowOff>
    </xdr:from>
    <xdr:ext cx="2571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41</xdr:col>
      <xdr:colOff>42624</xdr:colOff>
      <xdr:row>64</xdr:row>
      <xdr:rowOff>22655</xdr:rowOff>
    </xdr:from>
    <xdr:ext cx="6477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5</xdr:col>
      <xdr:colOff>54847</xdr:colOff>
      <xdr:row>65</xdr:row>
      <xdr:rowOff>22655</xdr:rowOff>
    </xdr:from>
    <xdr:ext cx="2571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6</xdr:col>
      <xdr:colOff>43686</xdr:colOff>
      <xdr:row>65</xdr:row>
      <xdr:rowOff>22655</xdr:rowOff>
    </xdr:from>
    <xdr:ext cx="2571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7</xdr:col>
      <xdr:colOff>43686</xdr:colOff>
      <xdr:row>65</xdr:row>
      <xdr:rowOff>22655</xdr:rowOff>
    </xdr:from>
    <xdr:ext cx="2571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8</xdr:col>
      <xdr:colOff>43686</xdr:colOff>
      <xdr:row>65</xdr:row>
      <xdr:rowOff>22655</xdr:rowOff>
    </xdr:from>
    <xdr:ext cx="2571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9</xdr:col>
      <xdr:colOff>43686</xdr:colOff>
      <xdr:row>65</xdr:row>
      <xdr:rowOff>22655</xdr:rowOff>
    </xdr:from>
    <xdr:ext cx="2571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10</xdr:col>
      <xdr:colOff>43686</xdr:colOff>
      <xdr:row>65</xdr:row>
      <xdr:rowOff>22655</xdr:rowOff>
    </xdr:from>
    <xdr:ext cx="2571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11</xdr:col>
      <xdr:colOff>43686</xdr:colOff>
      <xdr:row>65</xdr:row>
      <xdr:rowOff>22655</xdr:rowOff>
    </xdr:from>
    <xdr:ext cx="2571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12</xdr:col>
      <xdr:colOff>43686</xdr:colOff>
      <xdr:row>65</xdr:row>
      <xdr:rowOff>22655</xdr:rowOff>
    </xdr:from>
    <xdr:ext cx="2571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13</xdr:col>
      <xdr:colOff>43686</xdr:colOff>
      <xdr:row>65</xdr:row>
      <xdr:rowOff>22655</xdr:rowOff>
    </xdr:from>
    <xdr:ext cx="2571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14</xdr:col>
      <xdr:colOff>43686</xdr:colOff>
      <xdr:row>65</xdr:row>
      <xdr:rowOff>22655</xdr:rowOff>
    </xdr:from>
    <xdr:ext cx="2571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15</xdr:col>
      <xdr:colOff>43686</xdr:colOff>
      <xdr:row>65</xdr:row>
      <xdr:rowOff>22655</xdr:rowOff>
    </xdr:from>
    <xdr:ext cx="2571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16</xdr:col>
      <xdr:colOff>43686</xdr:colOff>
      <xdr:row>65</xdr:row>
      <xdr:rowOff>22655</xdr:rowOff>
    </xdr:from>
    <xdr:ext cx="2571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17</xdr:col>
      <xdr:colOff>43686</xdr:colOff>
      <xdr:row>65</xdr:row>
      <xdr:rowOff>22655</xdr:rowOff>
    </xdr:from>
    <xdr:ext cx="2571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18</xdr:col>
      <xdr:colOff>43686</xdr:colOff>
      <xdr:row>65</xdr:row>
      <xdr:rowOff>22655</xdr:rowOff>
    </xdr:from>
    <xdr:ext cx="2571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19</xdr:col>
      <xdr:colOff>43686</xdr:colOff>
      <xdr:row>65</xdr:row>
      <xdr:rowOff>22655</xdr:rowOff>
    </xdr:from>
    <xdr:ext cx="2571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20</xdr:col>
      <xdr:colOff>43686</xdr:colOff>
      <xdr:row>65</xdr:row>
      <xdr:rowOff>22655</xdr:rowOff>
    </xdr:from>
    <xdr:ext cx="2571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21</xdr:col>
      <xdr:colOff>43686</xdr:colOff>
      <xdr:row>65</xdr:row>
      <xdr:rowOff>22655</xdr:rowOff>
    </xdr:from>
    <xdr:ext cx="2571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22</xdr:col>
      <xdr:colOff>43686</xdr:colOff>
      <xdr:row>65</xdr:row>
      <xdr:rowOff>22655</xdr:rowOff>
    </xdr:from>
    <xdr:ext cx="2571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23</xdr:col>
      <xdr:colOff>43686</xdr:colOff>
      <xdr:row>65</xdr:row>
      <xdr:rowOff>22655</xdr:rowOff>
    </xdr:from>
    <xdr:ext cx="2571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24</xdr:col>
      <xdr:colOff>43686</xdr:colOff>
      <xdr:row>65</xdr:row>
      <xdr:rowOff>22655</xdr:rowOff>
    </xdr:from>
    <xdr:ext cx="2571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25</xdr:col>
      <xdr:colOff>43686</xdr:colOff>
      <xdr:row>65</xdr:row>
      <xdr:rowOff>22655</xdr:rowOff>
    </xdr:from>
    <xdr:ext cx="2571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41</xdr:col>
      <xdr:colOff>42624</xdr:colOff>
      <xdr:row>65</xdr:row>
      <xdr:rowOff>22655</xdr:rowOff>
    </xdr:from>
    <xdr:ext cx="6477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5</xdr:col>
      <xdr:colOff>54847</xdr:colOff>
      <xdr:row>66</xdr:row>
      <xdr:rowOff>22655</xdr:rowOff>
    </xdr:from>
    <xdr:ext cx="2571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6</xdr:col>
      <xdr:colOff>43686</xdr:colOff>
      <xdr:row>66</xdr:row>
      <xdr:rowOff>22655</xdr:rowOff>
    </xdr:from>
    <xdr:ext cx="2571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7</xdr:col>
      <xdr:colOff>43686</xdr:colOff>
      <xdr:row>66</xdr:row>
      <xdr:rowOff>22655</xdr:rowOff>
    </xdr:from>
    <xdr:ext cx="2571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8</xdr:col>
      <xdr:colOff>43686</xdr:colOff>
      <xdr:row>66</xdr:row>
      <xdr:rowOff>22655</xdr:rowOff>
    </xdr:from>
    <xdr:ext cx="2571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9</xdr:col>
      <xdr:colOff>43686</xdr:colOff>
      <xdr:row>66</xdr:row>
      <xdr:rowOff>22655</xdr:rowOff>
    </xdr:from>
    <xdr:ext cx="2571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10</xdr:col>
      <xdr:colOff>43686</xdr:colOff>
      <xdr:row>66</xdr:row>
      <xdr:rowOff>22655</xdr:rowOff>
    </xdr:from>
    <xdr:ext cx="2571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11</xdr:col>
      <xdr:colOff>43686</xdr:colOff>
      <xdr:row>66</xdr:row>
      <xdr:rowOff>22655</xdr:rowOff>
    </xdr:from>
    <xdr:ext cx="2571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12</xdr:col>
      <xdr:colOff>43686</xdr:colOff>
      <xdr:row>66</xdr:row>
      <xdr:rowOff>22655</xdr:rowOff>
    </xdr:from>
    <xdr:ext cx="2571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13</xdr:col>
      <xdr:colOff>43686</xdr:colOff>
      <xdr:row>66</xdr:row>
      <xdr:rowOff>22655</xdr:rowOff>
    </xdr:from>
    <xdr:ext cx="2571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14</xdr:col>
      <xdr:colOff>43686</xdr:colOff>
      <xdr:row>66</xdr:row>
      <xdr:rowOff>22655</xdr:rowOff>
    </xdr:from>
    <xdr:ext cx="2571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15</xdr:col>
      <xdr:colOff>43686</xdr:colOff>
      <xdr:row>66</xdr:row>
      <xdr:rowOff>22655</xdr:rowOff>
    </xdr:from>
    <xdr:ext cx="2571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16</xdr:col>
      <xdr:colOff>43686</xdr:colOff>
      <xdr:row>66</xdr:row>
      <xdr:rowOff>22655</xdr:rowOff>
    </xdr:from>
    <xdr:ext cx="2571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17</xdr:col>
      <xdr:colOff>43686</xdr:colOff>
      <xdr:row>66</xdr:row>
      <xdr:rowOff>22655</xdr:rowOff>
    </xdr:from>
    <xdr:ext cx="2571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18</xdr:col>
      <xdr:colOff>43686</xdr:colOff>
      <xdr:row>66</xdr:row>
      <xdr:rowOff>22655</xdr:rowOff>
    </xdr:from>
    <xdr:ext cx="2571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19</xdr:col>
      <xdr:colOff>43686</xdr:colOff>
      <xdr:row>66</xdr:row>
      <xdr:rowOff>22655</xdr:rowOff>
    </xdr:from>
    <xdr:ext cx="2571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20</xdr:col>
      <xdr:colOff>43686</xdr:colOff>
      <xdr:row>66</xdr:row>
      <xdr:rowOff>22655</xdr:rowOff>
    </xdr:from>
    <xdr:ext cx="2571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21</xdr:col>
      <xdr:colOff>43686</xdr:colOff>
      <xdr:row>66</xdr:row>
      <xdr:rowOff>22655</xdr:rowOff>
    </xdr:from>
    <xdr:ext cx="2571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22</xdr:col>
      <xdr:colOff>43686</xdr:colOff>
      <xdr:row>66</xdr:row>
      <xdr:rowOff>22655</xdr:rowOff>
    </xdr:from>
    <xdr:ext cx="2571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23</xdr:col>
      <xdr:colOff>43686</xdr:colOff>
      <xdr:row>66</xdr:row>
      <xdr:rowOff>22655</xdr:rowOff>
    </xdr:from>
    <xdr:ext cx="2571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24</xdr:col>
      <xdr:colOff>43686</xdr:colOff>
      <xdr:row>66</xdr:row>
      <xdr:rowOff>22655</xdr:rowOff>
    </xdr:from>
    <xdr:ext cx="2571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25</xdr:col>
      <xdr:colOff>43686</xdr:colOff>
      <xdr:row>66</xdr:row>
      <xdr:rowOff>22655</xdr:rowOff>
    </xdr:from>
    <xdr:ext cx="2571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41</xdr:col>
      <xdr:colOff>42624</xdr:colOff>
      <xdr:row>66</xdr:row>
      <xdr:rowOff>22655</xdr:rowOff>
    </xdr:from>
    <xdr:ext cx="6477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5</xdr:col>
      <xdr:colOff>54847</xdr:colOff>
      <xdr:row>67</xdr:row>
      <xdr:rowOff>22655</xdr:rowOff>
    </xdr:from>
    <xdr:ext cx="2571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6</xdr:col>
      <xdr:colOff>43686</xdr:colOff>
      <xdr:row>67</xdr:row>
      <xdr:rowOff>22655</xdr:rowOff>
    </xdr:from>
    <xdr:ext cx="2571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7</xdr:col>
      <xdr:colOff>43686</xdr:colOff>
      <xdr:row>67</xdr:row>
      <xdr:rowOff>22655</xdr:rowOff>
    </xdr:from>
    <xdr:ext cx="2571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8</xdr:col>
      <xdr:colOff>43686</xdr:colOff>
      <xdr:row>67</xdr:row>
      <xdr:rowOff>22655</xdr:rowOff>
    </xdr:from>
    <xdr:ext cx="2571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9</xdr:col>
      <xdr:colOff>43686</xdr:colOff>
      <xdr:row>67</xdr:row>
      <xdr:rowOff>22655</xdr:rowOff>
    </xdr:from>
    <xdr:ext cx="2571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10</xdr:col>
      <xdr:colOff>43686</xdr:colOff>
      <xdr:row>67</xdr:row>
      <xdr:rowOff>22655</xdr:rowOff>
    </xdr:from>
    <xdr:ext cx="2571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11</xdr:col>
      <xdr:colOff>43686</xdr:colOff>
      <xdr:row>67</xdr:row>
      <xdr:rowOff>22655</xdr:rowOff>
    </xdr:from>
    <xdr:ext cx="2571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12</xdr:col>
      <xdr:colOff>43686</xdr:colOff>
      <xdr:row>67</xdr:row>
      <xdr:rowOff>22655</xdr:rowOff>
    </xdr:from>
    <xdr:ext cx="2571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13</xdr:col>
      <xdr:colOff>43686</xdr:colOff>
      <xdr:row>67</xdr:row>
      <xdr:rowOff>22655</xdr:rowOff>
    </xdr:from>
    <xdr:ext cx="2571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14</xdr:col>
      <xdr:colOff>43686</xdr:colOff>
      <xdr:row>67</xdr:row>
      <xdr:rowOff>22655</xdr:rowOff>
    </xdr:from>
    <xdr:ext cx="2571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15</xdr:col>
      <xdr:colOff>43686</xdr:colOff>
      <xdr:row>67</xdr:row>
      <xdr:rowOff>22655</xdr:rowOff>
    </xdr:from>
    <xdr:ext cx="2571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16</xdr:col>
      <xdr:colOff>43686</xdr:colOff>
      <xdr:row>67</xdr:row>
      <xdr:rowOff>22655</xdr:rowOff>
    </xdr:from>
    <xdr:ext cx="2571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17</xdr:col>
      <xdr:colOff>43686</xdr:colOff>
      <xdr:row>67</xdr:row>
      <xdr:rowOff>22655</xdr:rowOff>
    </xdr:from>
    <xdr:ext cx="2571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18</xdr:col>
      <xdr:colOff>43686</xdr:colOff>
      <xdr:row>67</xdr:row>
      <xdr:rowOff>22655</xdr:rowOff>
    </xdr:from>
    <xdr:ext cx="2571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19</xdr:col>
      <xdr:colOff>43686</xdr:colOff>
      <xdr:row>67</xdr:row>
      <xdr:rowOff>22655</xdr:rowOff>
    </xdr:from>
    <xdr:ext cx="2571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20</xdr:col>
      <xdr:colOff>43686</xdr:colOff>
      <xdr:row>67</xdr:row>
      <xdr:rowOff>22655</xdr:rowOff>
    </xdr:from>
    <xdr:ext cx="2571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21</xdr:col>
      <xdr:colOff>43686</xdr:colOff>
      <xdr:row>67</xdr:row>
      <xdr:rowOff>22655</xdr:rowOff>
    </xdr:from>
    <xdr:ext cx="2571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22</xdr:col>
      <xdr:colOff>43686</xdr:colOff>
      <xdr:row>67</xdr:row>
      <xdr:rowOff>22655</xdr:rowOff>
    </xdr:from>
    <xdr:ext cx="2571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23</xdr:col>
      <xdr:colOff>43686</xdr:colOff>
      <xdr:row>67</xdr:row>
      <xdr:rowOff>22655</xdr:rowOff>
    </xdr:from>
    <xdr:ext cx="2571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24</xdr:col>
      <xdr:colOff>43686</xdr:colOff>
      <xdr:row>67</xdr:row>
      <xdr:rowOff>22655</xdr:rowOff>
    </xdr:from>
    <xdr:ext cx="2571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25</xdr:col>
      <xdr:colOff>43686</xdr:colOff>
      <xdr:row>67</xdr:row>
      <xdr:rowOff>22655</xdr:rowOff>
    </xdr:from>
    <xdr:ext cx="2571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41</xdr:col>
      <xdr:colOff>42624</xdr:colOff>
      <xdr:row>67</xdr:row>
      <xdr:rowOff>22655</xdr:rowOff>
    </xdr:from>
    <xdr:ext cx="6477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6</xdr:col>
      <xdr:colOff>43686</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7</xdr:col>
      <xdr:colOff>43686</xdr:colOff>
      <xdr:row>12</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8</xdr:col>
      <xdr:colOff>43686</xdr:colOff>
      <xdr:row>12</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9</xdr:col>
      <xdr:colOff>43686</xdr:colOff>
      <xdr:row>12</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10</xdr:col>
      <xdr:colOff>43686</xdr:colOff>
      <xdr:row>12</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11</xdr:col>
      <xdr:colOff>43686</xdr:colOff>
      <xdr:row>12</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12</xdr:col>
      <xdr:colOff>43686</xdr:colOff>
      <xdr:row>12</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13</xdr:col>
      <xdr:colOff>43686</xdr:colOff>
      <xdr:row>12</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14</xdr:col>
      <xdr:colOff>43686</xdr:colOff>
      <xdr:row>12</xdr:row>
      <xdr:rowOff>22655</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15</xdr:col>
      <xdr:colOff>43686</xdr:colOff>
      <xdr:row>12</xdr:row>
      <xdr:rowOff>22655</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16</xdr:col>
      <xdr:colOff>43686</xdr:colOff>
      <xdr:row>12</xdr:row>
      <xdr:rowOff>22655</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17</xdr:col>
      <xdr:colOff>43686</xdr:colOff>
      <xdr:row>12</xdr:row>
      <xdr:rowOff>22655</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18</xdr:col>
      <xdr:colOff>43686</xdr:colOff>
      <xdr:row>12</xdr:row>
      <xdr:rowOff>22655</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19</xdr:col>
      <xdr:colOff>43686</xdr:colOff>
      <xdr:row>12</xdr:row>
      <xdr:rowOff>22655</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20</xdr:col>
      <xdr:colOff>43686</xdr:colOff>
      <xdr:row>12</xdr:row>
      <xdr:rowOff>22655</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21</xdr:col>
      <xdr:colOff>43686</xdr:colOff>
      <xdr:row>12</xdr:row>
      <xdr:rowOff>22655</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22</xdr:col>
      <xdr:colOff>43686</xdr:colOff>
      <xdr:row>12</xdr:row>
      <xdr:rowOff>22655</xdr:rowOff>
    </xdr:from>
    <xdr:ext cx="2571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23</xdr:col>
      <xdr:colOff>43686</xdr:colOff>
      <xdr:row>12</xdr:row>
      <xdr:rowOff>22655</xdr:rowOff>
    </xdr:from>
    <xdr:ext cx="2571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24</xdr:col>
      <xdr:colOff>43686</xdr:colOff>
      <xdr:row>12</xdr:row>
      <xdr:rowOff>22655</xdr:rowOff>
    </xdr:from>
    <xdr:ext cx="2571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25</xdr:col>
      <xdr:colOff>43686</xdr:colOff>
      <xdr:row>12</xdr:row>
      <xdr:rowOff>22655</xdr:rowOff>
    </xdr:from>
    <xdr:ext cx="2571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26</xdr:col>
      <xdr:colOff>43686</xdr:colOff>
      <xdr:row>12</xdr:row>
      <xdr:rowOff>22655</xdr:rowOff>
    </xdr:from>
    <xdr:ext cx="2571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27</xdr:col>
      <xdr:colOff>43686</xdr:colOff>
      <xdr:row>12</xdr:row>
      <xdr:rowOff>22655</xdr:rowOff>
    </xdr:from>
    <xdr:ext cx="2571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28</xdr:col>
      <xdr:colOff>43686</xdr:colOff>
      <xdr:row>12</xdr:row>
      <xdr:rowOff>22655</xdr:rowOff>
    </xdr:from>
    <xdr:ext cx="2571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41</xdr:col>
      <xdr:colOff>42624</xdr:colOff>
      <xdr:row>12</xdr:row>
      <xdr:rowOff>22655</xdr:rowOff>
    </xdr:from>
    <xdr:ext cx="6477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6</xdr:col>
      <xdr:colOff>43686</xdr:colOff>
      <xdr:row>13</xdr:row>
      <xdr:rowOff>22655</xdr:rowOff>
    </xdr:from>
    <xdr:ext cx="2571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7</xdr:col>
      <xdr:colOff>43686</xdr:colOff>
      <xdr:row>13</xdr:row>
      <xdr:rowOff>22655</xdr:rowOff>
    </xdr:from>
    <xdr:ext cx="2571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8</xdr:col>
      <xdr:colOff>43686</xdr:colOff>
      <xdr:row>13</xdr:row>
      <xdr:rowOff>22655</xdr:rowOff>
    </xdr:from>
    <xdr:ext cx="2571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9</xdr:col>
      <xdr:colOff>43686</xdr:colOff>
      <xdr:row>13</xdr:row>
      <xdr:rowOff>22655</xdr:rowOff>
    </xdr:from>
    <xdr:ext cx="2571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10</xdr:col>
      <xdr:colOff>43686</xdr:colOff>
      <xdr:row>13</xdr:row>
      <xdr:rowOff>22655</xdr:rowOff>
    </xdr:from>
    <xdr:ext cx="2571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11</xdr:col>
      <xdr:colOff>43686</xdr:colOff>
      <xdr:row>13</xdr:row>
      <xdr:rowOff>22655</xdr:rowOff>
    </xdr:from>
    <xdr:ext cx="2571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12</xdr:col>
      <xdr:colOff>43686</xdr:colOff>
      <xdr:row>13</xdr:row>
      <xdr:rowOff>22655</xdr:rowOff>
    </xdr:from>
    <xdr:ext cx="2571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13</xdr:col>
      <xdr:colOff>43686</xdr:colOff>
      <xdr:row>13</xdr:row>
      <xdr:rowOff>22655</xdr:rowOff>
    </xdr:from>
    <xdr:ext cx="2571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14</xdr:col>
      <xdr:colOff>43686</xdr:colOff>
      <xdr:row>13</xdr:row>
      <xdr:rowOff>22655</xdr:rowOff>
    </xdr:from>
    <xdr:ext cx="2571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15</xdr:col>
      <xdr:colOff>43686</xdr:colOff>
      <xdr:row>13</xdr:row>
      <xdr:rowOff>22655</xdr:rowOff>
    </xdr:from>
    <xdr:ext cx="2571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16</xdr:col>
      <xdr:colOff>43686</xdr:colOff>
      <xdr:row>13</xdr:row>
      <xdr:rowOff>22655</xdr:rowOff>
    </xdr:from>
    <xdr:ext cx="2571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17</xdr:col>
      <xdr:colOff>43686</xdr:colOff>
      <xdr:row>13</xdr:row>
      <xdr:rowOff>22655</xdr:rowOff>
    </xdr:from>
    <xdr:ext cx="2571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18</xdr:col>
      <xdr:colOff>43686</xdr:colOff>
      <xdr:row>13</xdr:row>
      <xdr:rowOff>22655</xdr:rowOff>
    </xdr:from>
    <xdr:ext cx="2571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19</xdr:col>
      <xdr:colOff>43686</xdr:colOff>
      <xdr:row>13</xdr:row>
      <xdr:rowOff>22655</xdr:rowOff>
    </xdr:from>
    <xdr:ext cx="2571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20</xdr:col>
      <xdr:colOff>43686</xdr:colOff>
      <xdr:row>13</xdr:row>
      <xdr:rowOff>22655</xdr:rowOff>
    </xdr:from>
    <xdr:ext cx="2571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21</xdr:col>
      <xdr:colOff>43686</xdr:colOff>
      <xdr:row>13</xdr:row>
      <xdr:rowOff>22655</xdr:rowOff>
    </xdr:from>
    <xdr:ext cx="2571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22</xdr:col>
      <xdr:colOff>43686</xdr:colOff>
      <xdr:row>13</xdr:row>
      <xdr:rowOff>22655</xdr:rowOff>
    </xdr:from>
    <xdr:ext cx="2571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23</xdr:col>
      <xdr:colOff>43686</xdr:colOff>
      <xdr:row>13</xdr:row>
      <xdr:rowOff>22655</xdr:rowOff>
    </xdr:from>
    <xdr:ext cx="2571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24</xdr:col>
      <xdr:colOff>43686</xdr:colOff>
      <xdr:row>13</xdr:row>
      <xdr:rowOff>22655</xdr:rowOff>
    </xdr:from>
    <xdr:ext cx="2571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25</xdr:col>
      <xdr:colOff>43686</xdr:colOff>
      <xdr:row>13</xdr:row>
      <xdr:rowOff>22655</xdr:rowOff>
    </xdr:from>
    <xdr:ext cx="2571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26</xdr:col>
      <xdr:colOff>43686</xdr:colOff>
      <xdr:row>13</xdr:row>
      <xdr:rowOff>22655</xdr:rowOff>
    </xdr:from>
    <xdr:ext cx="2571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27</xdr:col>
      <xdr:colOff>43686</xdr:colOff>
      <xdr:row>13</xdr:row>
      <xdr:rowOff>22655</xdr:rowOff>
    </xdr:from>
    <xdr:ext cx="2571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28</xdr:col>
      <xdr:colOff>43686</xdr:colOff>
      <xdr:row>13</xdr:row>
      <xdr:rowOff>22655</xdr:rowOff>
    </xdr:from>
    <xdr:ext cx="2571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41</xdr:col>
      <xdr:colOff>42624</xdr:colOff>
      <xdr:row>13</xdr:row>
      <xdr:rowOff>22655</xdr:rowOff>
    </xdr:from>
    <xdr:ext cx="647700"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6</xdr:col>
      <xdr:colOff>43686</xdr:colOff>
      <xdr:row>14</xdr:row>
      <xdr:rowOff>22655</xdr:rowOff>
    </xdr:from>
    <xdr:ext cx="2571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7</xdr:col>
      <xdr:colOff>43686</xdr:colOff>
      <xdr:row>14</xdr:row>
      <xdr:rowOff>22655</xdr:rowOff>
    </xdr:from>
    <xdr:ext cx="2571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8</xdr:col>
      <xdr:colOff>43686</xdr:colOff>
      <xdr:row>14</xdr:row>
      <xdr:rowOff>22655</xdr:rowOff>
    </xdr:from>
    <xdr:ext cx="2571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9</xdr:col>
      <xdr:colOff>43686</xdr:colOff>
      <xdr:row>14</xdr:row>
      <xdr:rowOff>22655</xdr:rowOff>
    </xdr:from>
    <xdr:ext cx="2571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10</xdr:col>
      <xdr:colOff>43686</xdr:colOff>
      <xdr:row>14</xdr:row>
      <xdr:rowOff>22655</xdr:rowOff>
    </xdr:from>
    <xdr:ext cx="2571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11</xdr:col>
      <xdr:colOff>43686</xdr:colOff>
      <xdr:row>14</xdr:row>
      <xdr:rowOff>22655</xdr:rowOff>
    </xdr:from>
    <xdr:ext cx="2571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12</xdr:col>
      <xdr:colOff>43686</xdr:colOff>
      <xdr:row>14</xdr:row>
      <xdr:rowOff>22655</xdr:rowOff>
    </xdr:from>
    <xdr:ext cx="2571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13</xdr:col>
      <xdr:colOff>43686</xdr:colOff>
      <xdr:row>14</xdr:row>
      <xdr:rowOff>22655</xdr:rowOff>
    </xdr:from>
    <xdr:ext cx="2571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14</xdr:col>
      <xdr:colOff>43686</xdr:colOff>
      <xdr:row>14</xdr:row>
      <xdr:rowOff>22655</xdr:rowOff>
    </xdr:from>
    <xdr:ext cx="2571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15</xdr:col>
      <xdr:colOff>43686</xdr:colOff>
      <xdr:row>14</xdr:row>
      <xdr:rowOff>22655</xdr:rowOff>
    </xdr:from>
    <xdr:ext cx="2571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16</xdr:col>
      <xdr:colOff>43686</xdr:colOff>
      <xdr:row>14</xdr:row>
      <xdr:rowOff>22655</xdr:rowOff>
    </xdr:from>
    <xdr:ext cx="2571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17</xdr:col>
      <xdr:colOff>43686</xdr:colOff>
      <xdr:row>14</xdr:row>
      <xdr:rowOff>22655</xdr:rowOff>
    </xdr:from>
    <xdr:ext cx="2571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18</xdr:col>
      <xdr:colOff>43686</xdr:colOff>
      <xdr:row>14</xdr:row>
      <xdr:rowOff>22655</xdr:rowOff>
    </xdr:from>
    <xdr:ext cx="2571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19</xdr:col>
      <xdr:colOff>43686</xdr:colOff>
      <xdr:row>14</xdr:row>
      <xdr:rowOff>22655</xdr:rowOff>
    </xdr:from>
    <xdr:ext cx="2571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20</xdr:col>
      <xdr:colOff>43686</xdr:colOff>
      <xdr:row>14</xdr:row>
      <xdr:rowOff>22655</xdr:rowOff>
    </xdr:from>
    <xdr:ext cx="2571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21</xdr:col>
      <xdr:colOff>43686</xdr:colOff>
      <xdr:row>14</xdr:row>
      <xdr:rowOff>22655</xdr:rowOff>
    </xdr:from>
    <xdr:ext cx="2571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22</xdr:col>
      <xdr:colOff>43686</xdr:colOff>
      <xdr:row>14</xdr:row>
      <xdr:rowOff>22655</xdr:rowOff>
    </xdr:from>
    <xdr:ext cx="2571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23</xdr:col>
      <xdr:colOff>43686</xdr:colOff>
      <xdr:row>14</xdr:row>
      <xdr:rowOff>22655</xdr:rowOff>
    </xdr:from>
    <xdr:ext cx="2571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24</xdr:col>
      <xdr:colOff>43686</xdr:colOff>
      <xdr:row>14</xdr:row>
      <xdr:rowOff>22655</xdr:rowOff>
    </xdr:from>
    <xdr:ext cx="2571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25</xdr:col>
      <xdr:colOff>43686</xdr:colOff>
      <xdr:row>14</xdr:row>
      <xdr:rowOff>22655</xdr:rowOff>
    </xdr:from>
    <xdr:ext cx="2571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26</xdr:col>
      <xdr:colOff>43686</xdr:colOff>
      <xdr:row>14</xdr:row>
      <xdr:rowOff>22655</xdr:rowOff>
    </xdr:from>
    <xdr:ext cx="2571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27</xdr:col>
      <xdr:colOff>43686</xdr:colOff>
      <xdr:row>14</xdr:row>
      <xdr:rowOff>22655</xdr:rowOff>
    </xdr:from>
    <xdr:ext cx="2571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28</xdr:col>
      <xdr:colOff>43686</xdr:colOff>
      <xdr:row>14</xdr:row>
      <xdr:rowOff>22655</xdr:rowOff>
    </xdr:from>
    <xdr:ext cx="2571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41</xdr:col>
      <xdr:colOff>42624</xdr:colOff>
      <xdr:row>14</xdr:row>
      <xdr:rowOff>22655</xdr:rowOff>
    </xdr:from>
    <xdr:ext cx="647700"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6</xdr:col>
      <xdr:colOff>43686</xdr:colOff>
      <xdr:row>63</xdr:row>
      <xdr:rowOff>22655</xdr:rowOff>
    </xdr:from>
    <xdr:ext cx="2571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43686</xdr:colOff>
      <xdr:row>63</xdr:row>
      <xdr:rowOff>22655</xdr:rowOff>
    </xdr:from>
    <xdr:ext cx="2571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8</xdr:col>
      <xdr:colOff>43686</xdr:colOff>
      <xdr:row>63</xdr:row>
      <xdr:rowOff>22655</xdr:rowOff>
    </xdr:from>
    <xdr:ext cx="2571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9</xdr:col>
      <xdr:colOff>43686</xdr:colOff>
      <xdr:row>63</xdr:row>
      <xdr:rowOff>22655</xdr:rowOff>
    </xdr:from>
    <xdr:ext cx="2571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10</xdr:col>
      <xdr:colOff>43686</xdr:colOff>
      <xdr:row>63</xdr:row>
      <xdr:rowOff>22655</xdr:rowOff>
    </xdr:from>
    <xdr:ext cx="2571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11</xdr:col>
      <xdr:colOff>43686</xdr:colOff>
      <xdr:row>63</xdr:row>
      <xdr:rowOff>22655</xdr:rowOff>
    </xdr:from>
    <xdr:ext cx="2571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12</xdr:col>
      <xdr:colOff>43686</xdr:colOff>
      <xdr:row>63</xdr:row>
      <xdr:rowOff>22655</xdr:rowOff>
    </xdr:from>
    <xdr:ext cx="2571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13</xdr:col>
      <xdr:colOff>43686</xdr:colOff>
      <xdr:row>63</xdr:row>
      <xdr:rowOff>22655</xdr:rowOff>
    </xdr:from>
    <xdr:ext cx="2571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14</xdr:col>
      <xdr:colOff>43686</xdr:colOff>
      <xdr:row>63</xdr:row>
      <xdr:rowOff>22655</xdr:rowOff>
    </xdr:from>
    <xdr:ext cx="2571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15</xdr:col>
      <xdr:colOff>43686</xdr:colOff>
      <xdr:row>63</xdr:row>
      <xdr:rowOff>22655</xdr:rowOff>
    </xdr:from>
    <xdr:ext cx="2571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16</xdr:col>
      <xdr:colOff>43686</xdr:colOff>
      <xdr:row>63</xdr:row>
      <xdr:rowOff>22655</xdr:rowOff>
    </xdr:from>
    <xdr:ext cx="2571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17</xdr:col>
      <xdr:colOff>43686</xdr:colOff>
      <xdr:row>63</xdr:row>
      <xdr:rowOff>22655</xdr:rowOff>
    </xdr:from>
    <xdr:ext cx="2571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18</xdr:col>
      <xdr:colOff>43686</xdr:colOff>
      <xdr:row>63</xdr:row>
      <xdr:rowOff>22655</xdr:rowOff>
    </xdr:from>
    <xdr:ext cx="2571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19</xdr:col>
      <xdr:colOff>43686</xdr:colOff>
      <xdr:row>63</xdr:row>
      <xdr:rowOff>22655</xdr:rowOff>
    </xdr:from>
    <xdr:ext cx="2571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20</xdr:col>
      <xdr:colOff>43686</xdr:colOff>
      <xdr:row>63</xdr:row>
      <xdr:rowOff>22655</xdr:rowOff>
    </xdr:from>
    <xdr:ext cx="2571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21</xdr:col>
      <xdr:colOff>43686</xdr:colOff>
      <xdr:row>63</xdr:row>
      <xdr:rowOff>22655</xdr:rowOff>
    </xdr:from>
    <xdr:ext cx="2571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22</xdr:col>
      <xdr:colOff>43686</xdr:colOff>
      <xdr:row>63</xdr:row>
      <xdr:rowOff>22655</xdr:rowOff>
    </xdr:from>
    <xdr:ext cx="2571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23</xdr:col>
      <xdr:colOff>43686</xdr:colOff>
      <xdr:row>63</xdr:row>
      <xdr:rowOff>22655</xdr:rowOff>
    </xdr:from>
    <xdr:ext cx="2571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24</xdr:col>
      <xdr:colOff>43686</xdr:colOff>
      <xdr:row>63</xdr:row>
      <xdr:rowOff>22655</xdr:rowOff>
    </xdr:from>
    <xdr:ext cx="2571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25</xdr:col>
      <xdr:colOff>43686</xdr:colOff>
      <xdr:row>63</xdr:row>
      <xdr:rowOff>22655</xdr:rowOff>
    </xdr:from>
    <xdr:ext cx="2571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26</xdr:col>
      <xdr:colOff>43686</xdr:colOff>
      <xdr:row>63</xdr:row>
      <xdr:rowOff>22655</xdr:rowOff>
    </xdr:from>
    <xdr:ext cx="2571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27</xdr:col>
      <xdr:colOff>43686</xdr:colOff>
      <xdr:row>63</xdr:row>
      <xdr:rowOff>22655</xdr:rowOff>
    </xdr:from>
    <xdr:ext cx="2571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28</xdr:col>
      <xdr:colOff>43686</xdr:colOff>
      <xdr:row>63</xdr:row>
      <xdr:rowOff>22655</xdr:rowOff>
    </xdr:from>
    <xdr:ext cx="2571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41</xdr:col>
      <xdr:colOff>42624</xdr:colOff>
      <xdr:row>63</xdr:row>
      <xdr:rowOff>22655</xdr:rowOff>
    </xdr:from>
    <xdr:ext cx="647700"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6</xdr:col>
      <xdr:colOff>43686</xdr:colOff>
      <xdr:row>64</xdr:row>
      <xdr:rowOff>22655</xdr:rowOff>
    </xdr:from>
    <xdr:ext cx="2571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7</xdr:col>
      <xdr:colOff>43686</xdr:colOff>
      <xdr:row>64</xdr:row>
      <xdr:rowOff>22655</xdr:rowOff>
    </xdr:from>
    <xdr:ext cx="2571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8</xdr:col>
      <xdr:colOff>43686</xdr:colOff>
      <xdr:row>64</xdr:row>
      <xdr:rowOff>22655</xdr:rowOff>
    </xdr:from>
    <xdr:ext cx="2571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9</xdr:col>
      <xdr:colOff>43686</xdr:colOff>
      <xdr:row>64</xdr:row>
      <xdr:rowOff>22655</xdr:rowOff>
    </xdr:from>
    <xdr:ext cx="2571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10</xdr:col>
      <xdr:colOff>43686</xdr:colOff>
      <xdr:row>64</xdr:row>
      <xdr:rowOff>22655</xdr:rowOff>
    </xdr:from>
    <xdr:ext cx="2571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11</xdr:col>
      <xdr:colOff>43686</xdr:colOff>
      <xdr:row>64</xdr:row>
      <xdr:rowOff>22655</xdr:rowOff>
    </xdr:from>
    <xdr:ext cx="2571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12</xdr:col>
      <xdr:colOff>43686</xdr:colOff>
      <xdr:row>64</xdr:row>
      <xdr:rowOff>22655</xdr:rowOff>
    </xdr:from>
    <xdr:ext cx="2571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13</xdr:col>
      <xdr:colOff>43686</xdr:colOff>
      <xdr:row>64</xdr:row>
      <xdr:rowOff>22655</xdr:rowOff>
    </xdr:from>
    <xdr:ext cx="2571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14</xdr:col>
      <xdr:colOff>43686</xdr:colOff>
      <xdr:row>64</xdr:row>
      <xdr:rowOff>22655</xdr:rowOff>
    </xdr:from>
    <xdr:ext cx="2571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15</xdr:col>
      <xdr:colOff>43686</xdr:colOff>
      <xdr:row>64</xdr:row>
      <xdr:rowOff>22655</xdr:rowOff>
    </xdr:from>
    <xdr:ext cx="2571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16</xdr:col>
      <xdr:colOff>43686</xdr:colOff>
      <xdr:row>64</xdr:row>
      <xdr:rowOff>22655</xdr:rowOff>
    </xdr:from>
    <xdr:ext cx="2571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17</xdr:col>
      <xdr:colOff>43686</xdr:colOff>
      <xdr:row>64</xdr:row>
      <xdr:rowOff>22655</xdr:rowOff>
    </xdr:from>
    <xdr:ext cx="2571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18</xdr:col>
      <xdr:colOff>43686</xdr:colOff>
      <xdr:row>64</xdr:row>
      <xdr:rowOff>22655</xdr:rowOff>
    </xdr:from>
    <xdr:ext cx="2571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19</xdr:col>
      <xdr:colOff>43686</xdr:colOff>
      <xdr:row>64</xdr:row>
      <xdr:rowOff>22655</xdr:rowOff>
    </xdr:from>
    <xdr:ext cx="2571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20</xdr:col>
      <xdr:colOff>43686</xdr:colOff>
      <xdr:row>64</xdr:row>
      <xdr:rowOff>22655</xdr:rowOff>
    </xdr:from>
    <xdr:ext cx="2571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21</xdr:col>
      <xdr:colOff>43686</xdr:colOff>
      <xdr:row>64</xdr:row>
      <xdr:rowOff>22655</xdr:rowOff>
    </xdr:from>
    <xdr:ext cx="2571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22</xdr:col>
      <xdr:colOff>43686</xdr:colOff>
      <xdr:row>64</xdr:row>
      <xdr:rowOff>22655</xdr:rowOff>
    </xdr:from>
    <xdr:ext cx="2571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23</xdr:col>
      <xdr:colOff>43686</xdr:colOff>
      <xdr:row>64</xdr:row>
      <xdr:rowOff>22655</xdr:rowOff>
    </xdr:from>
    <xdr:ext cx="2571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24</xdr:col>
      <xdr:colOff>43686</xdr:colOff>
      <xdr:row>64</xdr:row>
      <xdr:rowOff>22655</xdr:rowOff>
    </xdr:from>
    <xdr:ext cx="2571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25</xdr:col>
      <xdr:colOff>43686</xdr:colOff>
      <xdr:row>64</xdr:row>
      <xdr:rowOff>22655</xdr:rowOff>
    </xdr:from>
    <xdr:ext cx="2571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26</xdr:col>
      <xdr:colOff>43686</xdr:colOff>
      <xdr:row>64</xdr:row>
      <xdr:rowOff>22655</xdr:rowOff>
    </xdr:from>
    <xdr:ext cx="2571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27</xdr:col>
      <xdr:colOff>43686</xdr:colOff>
      <xdr:row>64</xdr:row>
      <xdr:rowOff>22655</xdr:rowOff>
    </xdr:from>
    <xdr:ext cx="2571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28</xdr:col>
      <xdr:colOff>43686</xdr:colOff>
      <xdr:row>64</xdr:row>
      <xdr:rowOff>22655</xdr:rowOff>
    </xdr:from>
    <xdr:ext cx="2571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41</xdr:col>
      <xdr:colOff>42624</xdr:colOff>
      <xdr:row>64</xdr:row>
      <xdr:rowOff>22655</xdr:rowOff>
    </xdr:from>
    <xdr:ext cx="647700"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6</xdr:col>
      <xdr:colOff>43686</xdr:colOff>
      <xdr:row>65</xdr:row>
      <xdr:rowOff>22655</xdr:rowOff>
    </xdr:from>
    <xdr:ext cx="2571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43686</xdr:colOff>
      <xdr:row>65</xdr:row>
      <xdr:rowOff>22655</xdr:rowOff>
    </xdr:from>
    <xdr:ext cx="2571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43686</xdr:colOff>
      <xdr:row>65</xdr:row>
      <xdr:rowOff>22655</xdr:rowOff>
    </xdr:from>
    <xdr:ext cx="2571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9</xdr:col>
      <xdr:colOff>43686</xdr:colOff>
      <xdr:row>65</xdr:row>
      <xdr:rowOff>22655</xdr:rowOff>
    </xdr:from>
    <xdr:ext cx="2571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10</xdr:col>
      <xdr:colOff>43686</xdr:colOff>
      <xdr:row>65</xdr:row>
      <xdr:rowOff>22655</xdr:rowOff>
    </xdr:from>
    <xdr:ext cx="2571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11</xdr:col>
      <xdr:colOff>43686</xdr:colOff>
      <xdr:row>65</xdr:row>
      <xdr:rowOff>22655</xdr:rowOff>
    </xdr:from>
    <xdr:ext cx="2571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12</xdr:col>
      <xdr:colOff>43686</xdr:colOff>
      <xdr:row>65</xdr:row>
      <xdr:rowOff>22655</xdr:rowOff>
    </xdr:from>
    <xdr:ext cx="2571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13</xdr:col>
      <xdr:colOff>43686</xdr:colOff>
      <xdr:row>65</xdr:row>
      <xdr:rowOff>22655</xdr:rowOff>
    </xdr:from>
    <xdr:ext cx="2571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14</xdr:col>
      <xdr:colOff>43686</xdr:colOff>
      <xdr:row>65</xdr:row>
      <xdr:rowOff>22655</xdr:rowOff>
    </xdr:from>
    <xdr:ext cx="2571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15</xdr:col>
      <xdr:colOff>43686</xdr:colOff>
      <xdr:row>65</xdr:row>
      <xdr:rowOff>22655</xdr:rowOff>
    </xdr:from>
    <xdr:ext cx="2571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16</xdr:col>
      <xdr:colOff>43686</xdr:colOff>
      <xdr:row>65</xdr:row>
      <xdr:rowOff>22655</xdr:rowOff>
    </xdr:from>
    <xdr:ext cx="2571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17</xdr:col>
      <xdr:colOff>43686</xdr:colOff>
      <xdr:row>65</xdr:row>
      <xdr:rowOff>22655</xdr:rowOff>
    </xdr:from>
    <xdr:ext cx="2571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18</xdr:col>
      <xdr:colOff>43686</xdr:colOff>
      <xdr:row>65</xdr:row>
      <xdr:rowOff>22655</xdr:rowOff>
    </xdr:from>
    <xdr:ext cx="2571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19</xdr:col>
      <xdr:colOff>43686</xdr:colOff>
      <xdr:row>65</xdr:row>
      <xdr:rowOff>22655</xdr:rowOff>
    </xdr:from>
    <xdr:ext cx="2571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20</xdr:col>
      <xdr:colOff>43686</xdr:colOff>
      <xdr:row>65</xdr:row>
      <xdr:rowOff>22655</xdr:rowOff>
    </xdr:from>
    <xdr:ext cx="2571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21</xdr:col>
      <xdr:colOff>43686</xdr:colOff>
      <xdr:row>65</xdr:row>
      <xdr:rowOff>22655</xdr:rowOff>
    </xdr:from>
    <xdr:ext cx="2571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22</xdr:col>
      <xdr:colOff>43686</xdr:colOff>
      <xdr:row>65</xdr:row>
      <xdr:rowOff>22655</xdr:rowOff>
    </xdr:from>
    <xdr:ext cx="2571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23</xdr:col>
      <xdr:colOff>43686</xdr:colOff>
      <xdr:row>65</xdr:row>
      <xdr:rowOff>22655</xdr:rowOff>
    </xdr:from>
    <xdr:ext cx="2571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24</xdr:col>
      <xdr:colOff>43686</xdr:colOff>
      <xdr:row>65</xdr:row>
      <xdr:rowOff>22655</xdr:rowOff>
    </xdr:from>
    <xdr:ext cx="2571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25</xdr:col>
      <xdr:colOff>43686</xdr:colOff>
      <xdr:row>65</xdr:row>
      <xdr:rowOff>22655</xdr:rowOff>
    </xdr:from>
    <xdr:ext cx="2571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26</xdr:col>
      <xdr:colOff>43686</xdr:colOff>
      <xdr:row>65</xdr:row>
      <xdr:rowOff>22655</xdr:rowOff>
    </xdr:from>
    <xdr:ext cx="2571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27</xdr:col>
      <xdr:colOff>43686</xdr:colOff>
      <xdr:row>65</xdr:row>
      <xdr:rowOff>22655</xdr:rowOff>
    </xdr:from>
    <xdr:ext cx="2571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28</xdr:col>
      <xdr:colOff>43686</xdr:colOff>
      <xdr:row>65</xdr:row>
      <xdr:rowOff>22655</xdr:rowOff>
    </xdr:from>
    <xdr:ext cx="2571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41</xdr:col>
      <xdr:colOff>42624</xdr:colOff>
      <xdr:row>65</xdr:row>
      <xdr:rowOff>22655</xdr:rowOff>
    </xdr:from>
    <xdr:ext cx="647700"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6</xdr:col>
      <xdr:colOff>43686</xdr:colOff>
      <xdr:row>66</xdr:row>
      <xdr:rowOff>22655</xdr:rowOff>
    </xdr:from>
    <xdr:ext cx="2571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7</xdr:col>
      <xdr:colOff>43686</xdr:colOff>
      <xdr:row>66</xdr:row>
      <xdr:rowOff>22655</xdr:rowOff>
    </xdr:from>
    <xdr:ext cx="2571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8</xdr:col>
      <xdr:colOff>43686</xdr:colOff>
      <xdr:row>66</xdr:row>
      <xdr:rowOff>22655</xdr:rowOff>
    </xdr:from>
    <xdr:ext cx="2571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9</xdr:col>
      <xdr:colOff>43686</xdr:colOff>
      <xdr:row>66</xdr:row>
      <xdr:rowOff>22655</xdr:rowOff>
    </xdr:from>
    <xdr:ext cx="2571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10</xdr:col>
      <xdr:colOff>43686</xdr:colOff>
      <xdr:row>66</xdr:row>
      <xdr:rowOff>22655</xdr:rowOff>
    </xdr:from>
    <xdr:ext cx="2571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11</xdr:col>
      <xdr:colOff>43686</xdr:colOff>
      <xdr:row>66</xdr:row>
      <xdr:rowOff>22655</xdr:rowOff>
    </xdr:from>
    <xdr:ext cx="2571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12</xdr:col>
      <xdr:colOff>43686</xdr:colOff>
      <xdr:row>66</xdr:row>
      <xdr:rowOff>22655</xdr:rowOff>
    </xdr:from>
    <xdr:ext cx="2571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13</xdr:col>
      <xdr:colOff>43686</xdr:colOff>
      <xdr:row>66</xdr:row>
      <xdr:rowOff>22655</xdr:rowOff>
    </xdr:from>
    <xdr:ext cx="2571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14</xdr:col>
      <xdr:colOff>43686</xdr:colOff>
      <xdr:row>66</xdr:row>
      <xdr:rowOff>22655</xdr:rowOff>
    </xdr:from>
    <xdr:ext cx="2571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15</xdr:col>
      <xdr:colOff>43686</xdr:colOff>
      <xdr:row>66</xdr:row>
      <xdr:rowOff>22655</xdr:rowOff>
    </xdr:from>
    <xdr:ext cx="2571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16</xdr:col>
      <xdr:colOff>43686</xdr:colOff>
      <xdr:row>66</xdr:row>
      <xdr:rowOff>22655</xdr:rowOff>
    </xdr:from>
    <xdr:ext cx="2571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17</xdr:col>
      <xdr:colOff>43686</xdr:colOff>
      <xdr:row>66</xdr:row>
      <xdr:rowOff>22655</xdr:rowOff>
    </xdr:from>
    <xdr:ext cx="2571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18</xdr:col>
      <xdr:colOff>43686</xdr:colOff>
      <xdr:row>66</xdr:row>
      <xdr:rowOff>22655</xdr:rowOff>
    </xdr:from>
    <xdr:ext cx="2571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19</xdr:col>
      <xdr:colOff>43686</xdr:colOff>
      <xdr:row>66</xdr:row>
      <xdr:rowOff>22655</xdr:rowOff>
    </xdr:from>
    <xdr:ext cx="2571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20</xdr:col>
      <xdr:colOff>43686</xdr:colOff>
      <xdr:row>66</xdr:row>
      <xdr:rowOff>22655</xdr:rowOff>
    </xdr:from>
    <xdr:ext cx="2571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21</xdr:col>
      <xdr:colOff>43686</xdr:colOff>
      <xdr:row>66</xdr:row>
      <xdr:rowOff>22655</xdr:rowOff>
    </xdr:from>
    <xdr:ext cx="2571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22</xdr:col>
      <xdr:colOff>43686</xdr:colOff>
      <xdr:row>66</xdr:row>
      <xdr:rowOff>22655</xdr:rowOff>
    </xdr:from>
    <xdr:ext cx="2571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23</xdr:col>
      <xdr:colOff>43686</xdr:colOff>
      <xdr:row>66</xdr:row>
      <xdr:rowOff>22655</xdr:rowOff>
    </xdr:from>
    <xdr:ext cx="2571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24</xdr:col>
      <xdr:colOff>43686</xdr:colOff>
      <xdr:row>66</xdr:row>
      <xdr:rowOff>22655</xdr:rowOff>
    </xdr:from>
    <xdr:ext cx="2571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25</xdr:col>
      <xdr:colOff>43686</xdr:colOff>
      <xdr:row>66</xdr:row>
      <xdr:rowOff>22655</xdr:rowOff>
    </xdr:from>
    <xdr:ext cx="2571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26</xdr:col>
      <xdr:colOff>43686</xdr:colOff>
      <xdr:row>66</xdr:row>
      <xdr:rowOff>22655</xdr:rowOff>
    </xdr:from>
    <xdr:ext cx="2571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27</xdr:col>
      <xdr:colOff>43686</xdr:colOff>
      <xdr:row>66</xdr:row>
      <xdr:rowOff>22655</xdr:rowOff>
    </xdr:from>
    <xdr:ext cx="2571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28</xdr:col>
      <xdr:colOff>43686</xdr:colOff>
      <xdr:row>66</xdr:row>
      <xdr:rowOff>22655</xdr:rowOff>
    </xdr:from>
    <xdr:ext cx="2571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41</xdr:col>
      <xdr:colOff>42624</xdr:colOff>
      <xdr:row>66</xdr:row>
      <xdr:rowOff>22655</xdr:rowOff>
    </xdr:from>
    <xdr:ext cx="647700"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6</xdr:col>
      <xdr:colOff>43686</xdr:colOff>
      <xdr:row>67</xdr:row>
      <xdr:rowOff>22655</xdr:rowOff>
    </xdr:from>
    <xdr:ext cx="2571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7</xdr:col>
      <xdr:colOff>43686</xdr:colOff>
      <xdr:row>67</xdr:row>
      <xdr:rowOff>22655</xdr:rowOff>
    </xdr:from>
    <xdr:ext cx="2571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8</xdr:col>
      <xdr:colOff>43686</xdr:colOff>
      <xdr:row>67</xdr:row>
      <xdr:rowOff>22655</xdr:rowOff>
    </xdr:from>
    <xdr:ext cx="2571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9</xdr:col>
      <xdr:colOff>43686</xdr:colOff>
      <xdr:row>67</xdr:row>
      <xdr:rowOff>22655</xdr:rowOff>
    </xdr:from>
    <xdr:ext cx="2571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10</xdr:col>
      <xdr:colOff>43686</xdr:colOff>
      <xdr:row>67</xdr:row>
      <xdr:rowOff>22655</xdr:rowOff>
    </xdr:from>
    <xdr:ext cx="2571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11</xdr:col>
      <xdr:colOff>43686</xdr:colOff>
      <xdr:row>67</xdr:row>
      <xdr:rowOff>22655</xdr:rowOff>
    </xdr:from>
    <xdr:ext cx="2571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12</xdr:col>
      <xdr:colOff>43686</xdr:colOff>
      <xdr:row>67</xdr:row>
      <xdr:rowOff>22655</xdr:rowOff>
    </xdr:from>
    <xdr:ext cx="2571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13</xdr:col>
      <xdr:colOff>43686</xdr:colOff>
      <xdr:row>67</xdr:row>
      <xdr:rowOff>22655</xdr:rowOff>
    </xdr:from>
    <xdr:ext cx="2571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14</xdr:col>
      <xdr:colOff>43686</xdr:colOff>
      <xdr:row>67</xdr:row>
      <xdr:rowOff>22655</xdr:rowOff>
    </xdr:from>
    <xdr:ext cx="2571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15</xdr:col>
      <xdr:colOff>43686</xdr:colOff>
      <xdr:row>67</xdr:row>
      <xdr:rowOff>22655</xdr:rowOff>
    </xdr:from>
    <xdr:ext cx="2571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16</xdr:col>
      <xdr:colOff>43686</xdr:colOff>
      <xdr:row>67</xdr:row>
      <xdr:rowOff>22655</xdr:rowOff>
    </xdr:from>
    <xdr:ext cx="2571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17</xdr:col>
      <xdr:colOff>43686</xdr:colOff>
      <xdr:row>67</xdr:row>
      <xdr:rowOff>22655</xdr:rowOff>
    </xdr:from>
    <xdr:ext cx="2571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18</xdr:col>
      <xdr:colOff>43686</xdr:colOff>
      <xdr:row>67</xdr:row>
      <xdr:rowOff>22655</xdr:rowOff>
    </xdr:from>
    <xdr:ext cx="2571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19</xdr:col>
      <xdr:colOff>43686</xdr:colOff>
      <xdr:row>67</xdr:row>
      <xdr:rowOff>22655</xdr:rowOff>
    </xdr:from>
    <xdr:ext cx="2571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20</xdr:col>
      <xdr:colOff>43686</xdr:colOff>
      <xdr:row>67</xdr:row>
      <xdr:rowOff>22655</xdr:rowOff>
    </xdr:from>
    <xdr:ext cx="2571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21</xdr:col>
      <xdr:colOff>43686</xdr:colOff>
      <xdr:row>67</xdr:row>
      <xdr:rowOff>22655</xdr:rowOff>
    </xdr:from>
    <xdr:ext cx="2571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22</xdr:col>
      <xdr:colOff>43686</xdr:colOff>
      <xdr:row>67</xdr:row>
      <xdr:rowOff>22655</xdr:rowOff>
    </xdr:from>
    <xdr:ext cx="2571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23</xdr:col>
      <xdr:colOff>43686</xdr:colOff>
      <xdr:row>67</xdr:row>
      <xdr:rowOff>22655</xdr:rowOff>
    </xdr:from>
    <xdr:ext cx="2571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24</xdr:col>
      <xdr:colOff>43686</xdr:colOff>
      <xdr:row>67</xdr:row>
      <xdr:rowOff>22655</xdr:rowOff>
    </xdr:from>
    <xdr:ext cx="2571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25</xdr:col>
      <xdr:colOff>43686</xdr:colOff>
      <xdr:row>67</xdr:row>
      <xdr:rowOff>22655</xdr:rowOff>
    </xdr:from>
    <xdr:ext cx="2571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26</xdr:col>
      <xdr:colOff>43686</xdr:colOff>
      <xdr:row>67</xdr:row>
      <xdr:rowOff>22655</xdr:rowOff>
    </xdr:from>
    <xdr:ext cx="2571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27</xdr:col>
      <xdr:colOff>43686</xdr:colOff>
      <xdr:row>67</xdr:row>
      <xdr:rowOff>22655</xdr:rowOff>
    </xdr:from>
    <xdr:ext cx="2571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28</xdr:col>
      <xdr:colOff>43686</xdr:colOff>
      <xdr:row>67</xdr:row>
      <xdr:rowOff>22655</xdr:rowOff>
    </xdr:from>
    <xdr:ext cx="2571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41</xdr:col>
      <xdr:colOff>42624</xdr:colOff>
      <xdr:row>67</xdr:row>
      <xdr:rowOff>22655</xdr:rowOff>
    </xdr:from>
    <xdr:ext cx="647700"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3" name="Picture 3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3"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4" name="Picture 3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4"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5" name="Picture 3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5"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6" name="Picture 3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6"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7" name="Picture 3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7"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78" name="Picture 3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8"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79" name="Picture 3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9"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80" name="Picture 3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0"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81" name="Picture 3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1"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82" name="Picture 3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2"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83" name="Picture 3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3"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84" name="Picture 3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4"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85" name="Picture 3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5"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86" name="Picture 3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6"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9</xdr:col>
      <xdr:colOff>43686</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10</xdr:col>
      <xdr:colOff>43686</xdr:colOff>
      <xdr:row>12</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11</xdr:col>
      <xdr:colOff>43686</xdr:colOff>
      <xdr:row>12</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12</xdr:col>
      <xdr:colOff>43686</xdr:colOff>
      <xdr:row>12</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13</xdr:col>
      <xdr:colOff>43686</xdr:colOff>
      <xdr:row>12</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14</xdr:col>
      <xdr:colOff>43686</xdr:colOff>
      <xdr:row>12</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15</xdr:col>
      <xdr:colOff>43686</xdr:colOff>
      <xdr:row>12</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16</xdr:col>
      <xdr:colOff>43686</xdr:colOff>
      <xdr:row>12</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17</xdr:col>
      <xdr:colOff>43686</xdr:colOff>
      <xdr:row>12</xdr:row>
      <xdr:rowOff>22655</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18</xdr:col>
      <xdr:colOff>43686</xdr:colOff>
      <xdr:row>12</xdr:row>
      <xdr:rowOff>22655</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19</xdr:col>
      <xdr:colOff>43686</xdr:colOff>
      <xdr:row>12</xdr:row>
      <xdr:rowOff>22655</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20</xdr:col>
      <xdr:colOff>43686</xdr:colOff>
      <xdr:row>12</xdr:row>
      <xdr:rowOff>22655</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21</xdr:col>
      <xdr:colOff>43686</xdr:colOff>
      <xdr:row>12</xdr:row>
      <xdr:rowOff>22655</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22</xdr:col>
      <xdr:colOff>43686</xdr:colOff>
      <xdr:row>12</xdr:row>
      <xdr:rowOff>22655</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23</xdr:col>
      <xdr:colOff>43686</xdr:colOff>
      <xdr:row>12</xdr:row>
      <xdr:rowOff>22655</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24</xdr:col>
      <xdr:colOff>43686</xdr:colOff>
      <xdr:row>12</xdr:row>
      <xdr:rowOff>22655</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25</xdr:col>
      <xdr:colOff>43686</xdr:colOff>
      <xdr:row>12</xdr:row>
      <xdr:rowOff>22655</xdr:rowOff>
    </xdr:from>
    <xdr:ext cx="2571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26</xdr:col>
      <xdr:colOff>43686</xdr:colOff>
      <xdr:row>12</xdr:row>
      <xdr:rowOff>22655</xdr:rowOff>
    </xdr:from>
    <xdr:ext cx="2571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27</xdr:col>
      <xdr:colOff>43686</xdr:colOff>
      <xdr:row>12</xdr:row>
      <xdr:rowOff>22655</xdr:rowOff>
    </xdr:from>
    <xdr:ext cx="2571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28</xdr:col>
      <xdr:colOff>43686</xdr:colOff>
      <xdr:row>12</xdr:row>
      <xdr:rowOff>22655</xdr:rowOff>
    </xdr:from>
    <xdr:ext cx="2571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29</xdr:col>
      <xdr:colOff>43686</xdr:colOff>
      <xdr:row>12</xdr:row>
      <xdr:rowOff>22655</xdr:rowOff>
    </xdr:from>
    <xdr:ext cx="2571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41</xdr:col>
      <xdr:colOff>42624</xdr:colOff>
      <xdr:row>12</xdr:row>
      <xdr:rowOff>22655</xdr:rowOff>
    </xdr:from>
    <xdr:ext cx="647700"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9</xdr:col>
      <xdr:colOff>43686</xdr:colOff>
      <xdr:row>13</xdr:row>
      <xdr:rowOff>22655</xdr:rowOff>
    </xdr:from>
    <xdr:ext cx="2571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10</xdr:col>
      <xdr:colOff>43686</xdr:colOff>
      <xdr:row>13</xdr:row>
      <xdr:rowOff>22655</xdr:rowOff>
    </xdr:from>
    <xdr:ext cx="2571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11</xdr:col>
      <xdr:colOff>43686</xdr:colOff>
      <xdr:row>13</xdr:row>
      <xdr:rowOff>22655</xdr:rowOff>
    </xdr:from>
    <xdr:ext cx="2571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12</xdr:col>
      <xdr:colOff>43686</xdr:colOff>
      <xdr:row>13</xdr:row>
      <xdr:rowOff>22655</xdr:rowOff>
    </xdr:from>
    <xdr:ext cx="2571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13</xdr:col>
      <xdr:colOff>43686</xdr:colOff>
      <xdr:row>13</xdr:row>
      <xdr:rowOff>22655</xdr:rowOff>
    </xdr:from>
    <xdr:ext cx="2571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14</xdr:col>
      <xdr:colOff>43686</xdr:colOff>
      <xdr:row>13</xdr:row>
      <xdr:rowOff>22655</xdr:rowOff>
    </xdr:from>
    <xdr:ext cx="2571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15</xdr:col>
      <xdr:colOff>43686</xdr:colOff>
      <xdr:row>13</xdr:row>
      <xdr:rowOff>22655</xdr:rowOff>
    </xdr:from>
    <xdr:ext cx="2571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16</xdr:col>
      <xdr:colOff>43686</xdr:colOff>
      <xdr:row>13</xdr:row>
      <xdr:rowOff>22655</xdr:rowOff>
    </xdr:from>
    <xdr:ext cx="2571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17</xdr:col>
      <xdr:colOff>43686</xdr:colOff>
      <xdr:row>13</xdr:row>
      <xdr:rowOff>22655</xdr:rowOff>
    </xdr:from>
    <xdr:ext cx="2571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18</xdr:col>
      <xdr:colOff>43686</xdr:colOff>
      <xdr:row>13</xdr:row>
      <xdr:rowOff>22655</xdr:rowOff>
    </xdr:from>
    <xdr:ext cx="2571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19</xdr:col>
      <xdr:colOff>43686</xdr:colOff>
      <xdr:row>13</xdr:row>
      <xdr:rowOff>22655</xdr:rowOff>
    </xdr:from>
    <xdr:ext cx="2571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20</xdr:col>
      <xdr:colOff>43686</xdr:colOff>
      <xdr:row>13</xdr:row>
      <xdr:rowOff>22655</xdr:rowOff>
    </xdr:from>
    <xdr:ext cx="2571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21</xdr:col>
      <xdr:colOff>43686</xdr:colOff>
      <xdr:row>13</xdr:row>
      <xdr:rowOff>22655</xdr:rowOff>
    </xdr:from>
    <xdr:ext cx="2571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22</xdr:col>
      <xdr:colOff>43686</xdr:colOff>
      <xdr:row>13</xdr:row>
      <xdr:rowOff>22655</xdr:rowOff>
    </xdr:from>
    <xdr:ext cx="2571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23</xdr:col>
      <xdr:colOff>43686</xdr:colOff>
      <xdr:row>13</xdr:row>
      <xdr:rowOff>22655</xdr:rowOff>
    </xdr:from>
    <xdr:ext cx="2571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24</xdr:col>
      <xdr:colOff>43686</xdr:colOff>
      <xdr:row>13</xdr:row>
      <xdr:rowOff>22655</xdr:rowOff>
    </xdr:from>
    <xdr:ext cx="2571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25</xdr:col>
      <xdr:colOff>43686</xdr:colOff>
      <xdr:row>13</xdr:row>
      <xdr:rowOff>22655</xdr:rowOff>
    </xdr:from>
    <xdr:ext cx="2571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26</xdr:col>
      <xdr:colOff>43686</xdr:colOff>
      <xdr:row>13</xdr:row>
      <xdr:rowOff>22655</xdr:rowOff>
    </xdr:from>
    <xdr:ext cx="2571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27</xdr:col>
      <xdr:colOff>43686</xdr:colOff>
      <xdr:row>13</xdr:row>
      <xdr:rowOff>22655</xdr:rowOff>
    </xdr:from>
    <xdr:ext cx="2571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28</xdr:col>
      <xdr:colOff>43686</xdr:colOff>
      <xdr:row>13</xdr:row>
      <xdr:rowOff>22655</xdr:rowOff>
    </xdr:from>
    <xdr:ext cx="2571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29</xdr:col>
      <xdr:colOff>43686</xdr:colOff>
      <xdr:row>13</xdr:row>
      <xdr:rowOff>22655</xdr:rowOff>
    </xdr:from>
    <xdr:ext cx="2571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41</xdr:col>
      <xdr:colOff>42624</xdr:colOff>
      <xdr:row>13</xdr:row>
      <xdr:rowOff>22655</xdr:rowOff>
    </xdr:from>
    <xdr:ext cx="647700"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9</xdr:col>
      <xdr:colOff>43686</xdr:colOff>
      <xdr:row>14</xdr:row>
      <xdr:rowOff>22655</xdr:rowOff>
    </xdr:from>
    <xdr:ext cx="2571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10</xdr:col>
      <xdr:colOff>43686</xdr:colOff>
      <xdr:row>14</xdr:row>
      <xdr:rowOff>22655</xdr:rowOff>
    </xdr:from>
    <xdr:ext cx="257175"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11</xdr:col>
      <xdr:colOff>43686</xdr:colOff>
      <xdr:row>14</xdr:row>
      <xdr:rowOff>22655</xdr:rowOff>
    </xdr:from>
    <xdr:ext cx="2571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12</xdr:col>
      <xdr:colOff>43686</xdr:colOff>
      <xdr:row>14</xdr:row>
      <xdr:rowOff>22655</xdr:rowOff>
    </xdr:from>
    <xdr:ext cx="2571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13</xdr:col>
      <xdr:colOff>43686</xdr:colOff>
      <xdr:row>14</xdr:row>
      <xdr:rowOff>22655</xdr:rowOff>
    </xdr:from>
    <xdr:ext cx="2571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14</xdr:col>
      <xdr:colOff>43686</xdr:colOff>
      <xdr:row>14</xdr:row>
      <xdr:rowOff>22655</xdr:rowOff>
    </xdr:from>
    <xdr:ext cx="2571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15</xdr:col>
      <xdr:colOff>43686</xdr:colOff>
      <xdr:row>14</xdr:row>
      <xdr:rowOff>22655</xdr:rowOff>
    </xdr:from>
    <xdr:ext cx="2571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16</xdr:col>
      <xdr:colOff>43686</xdr:colOff>
      <xdr:row>14</xdr:row>
      <xdr:rowOff>22655</xdr:rowOff>
    </xdr:from>
    <xdr:ext cx="2571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17</xdr:col>
      <xdr:colOff>43686</xdr:colOff>
      <xdr:row>14</xdr:row>
      <xdr:rowOff>22655</xdr:rowOff>
    </xdr:from>
    <xdr:ext cx="2571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18</xdr:col>
      <xdr:colOff>43686</xdr:colOff>
      <xdr:row>14</xdr:row>
      <xdr:rowOff>22655</xdr:rowOff>
    </xdr:from>
    <xdr:ext cx="2571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19</xdr:col>
      <xdr:colOff>43686</xdr:colOff>
      <xdr:row>14</xdr:row>
      <xdr:rowOff>22655</xdr:rowOff>
    </xdr:from>
    <xdr:ext cx="2571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20</xdr:col>
      <xdr:colOff>43686</xdr:colOff>
      <xdr:row>14</xdr:row>
      <xdr:rowOff>22655</xdr:rowOff>
    </xdr:from>
    <xdr:ext cx="2571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21</xdr:col>
      <xdr:colOff>43686</xdr:colOff>
      <xdr:row>14</xdr:row>
      <xdr:rowOff>22655</xdr:rowOff>
    </xdr:from>
    <xdr:ext cx="2571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22</xdr:col>
      <xdr:colOff>43686</xdr:colOff>
      <xdr:row>14</xdr:row>
      <xdr:rowOff>22655</xdr:rowOff>
    </xdr:from>
    <xdr:ext cx="2571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23</xdr:col>
      <xdr:colOff>43686</xdr:colOff>
      <xdr:row>14</xdr:row>
      <xdr:rowOff>22655</xdr:rowOff>
    </xdr:from>
    <xdr:ext cx="2571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24</xdr:col>
      <xdr:colOff>43686</xdr:colOff>
      <xdr:row>14</xdr:row>
      <xdr:rowOff>22655</xdr:rowOff>
    </xdr:from>
    <xdr:ext cx="2571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25</xdr:col>
      <xdr:colOff>43686</xdr:colOff>
      <xdr:row>14</xdr:row>
      <xdr:rowOff>22655</xdr:rowOff>
    </xdr:from>
    <xdr:ext cx="2571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26</xdr:col>
      <xdr:colOff>43686</xdr:colOff>
      <xdr:row>14</xdr:row>
      <xdr:rowOff>22655</xdr:rowOff>
    </xdr:from>
    <xdr:ext cx="2571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27</xdr:col>
      <xdr:colOff>43686</xdr:colOff>
      <xdr:row>14</xdr:row>
      <xdr:rowOff>22655</xdr:rowOff>
    </xdr:from>
    <xdr:ext cx="2571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28</xdr:col>
      <xdr:colOff>43686</xdr:colOff>
      <xdr:row>14</xdr:row>
      <xdr:rowOff>22655</xdr:rowOff>
    </xdr:from>
    <xdr:ext cx="2571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29</xdr:col>
      <xdr:colOff>43686</xdr:colOff>
      <xdr:row>14</xdr:row>
      <xdr:rowOff>22655</xdr:rowOff>
    </xdr:from>
    <xdr:ext cx="2571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41</xdr:col>
      <xdr:colOff>42624</xdr:colOff>
      <xdr:row>14</xdr:row>
      <xdr:rowOff>22655</xdr:rowOff>
    </xdr:from>
    <xdr:ext cx="647700"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9</xdr:col>
      <xdr:colOff>43686</xdr:colOff>
      <xdr:row>63</xdr:row>
      <xdr:rowOff>22655</xdr:rowOff>
    </xdr:from>
    <xdr:ext cx="2571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10</xdr:col>
      <xdr:colOff>43686</xdr:colOff>
      <xdr:row>63</xdr:row>
      <xdr:rowOff>22655</xdr:rowOff>
    </xdr:from>
    <xdr:ext cx="2571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11</xdr:col>
      <xdr:colOff>43686</xdr:colOff>
      <xdr:row>63</xdr:row>
      <xdr:rowOff>22655</xdr:rowOff>
    </xdr:from>
    <xdr:ext cx="2571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12</xdr:col>
      <xdr:colOff>43686</xdr:colOff>
      <xdr:row>63</xdr:row>
      <xdr:rowOff>22655</xdr:rowOff>
    </xdr:from>
    <xdr:ext cx="2571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13</xdr:col>
      <xdr:colOff>43686</xdr:colOff>
      <xdr:row>63</xdr:row>
      <xdr:rowOff>22655</xdr:rowOff>
    </xdr:from>
    <xdr:ext cx="2571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14</xdr:col>
      <xdr:colOff>43686</xdr:colOff>
      <xdr:row>63</xdr:row>
      <xdr:rowOff>22655</xdr:rowOff>
    </xdr:from>
    <xdr:ext cx="2571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15</xdr:col>
      <xdr:colOff>43686</xdr:colOff>
      <xdr:row>63</xdr:row>
      <xdr:rowOff>22655</xdr:rowOff>
    </xdr:from>
    <xdr:ext cx="2571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16</xdr:col>
      <xdr:colOff>43686</xdr:colOff>
      <xdr:row>63</xdr:row>
      <xdr:rowOff>22655</xdr:rowOff>
    </xdr:from>
    <xdr:ext cx="2571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17</xdr:col>
      <xdr:colOff>43686</xdr:colOff>
      <xdr:row>63</xdr:row>
      <xdr:rowOff>22655</xdr:rowOff>
    </xdr:from>
    <xdr:ext cx="2571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18</xdr:col>
      <xdr:colOff>43686</xdr:colOff>
      <xdr:row>63</xdr:row>
      <xdr:rowOff>22655</xdr:rowOff>
    </xdr:from>
    <xdr:ext cx="2571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19</xdr:col>
      <xdr:colOff>43686</xdr:colOff>
      <xdr:row>63</xdr:row>
      <xdr:rowOff>22655</xdr:rowOff>
    </xdr:from>
    <xdr:ext cx="2571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20</xdr:col>
      <xdr:colOff>43686</xdr:colOff>
      <xdr:row>63</xdr:row>
      <xdr:rowOff>22655</xdr:rowOff>
    </xdr:from>
    <xdr:ext cx="2571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21</xdr:col>
      <xdr:colOff>43686</xdr:colOff>
      <xdr:row>63</xdr:row>
      <xdr:rowOff>22655</xdr:rowOff>
    </xdr:from>
    <xdr:ext cx="2571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22</xdr:col>
      <xdr:colOff>43686</xdr:colOff>
      <xdr:row>63</xdr:row>
      <xdr:rowOff>22655</xdr:rowOff>
    </xdr:from>
    <xdr:ext cx="2571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23</xdr:col>
      <xdr:colOff>43686</xdr:colOff>
      <xdr:row>63</xdr:row>
      <xdr:rowOff>22655</xdr:rowOff>
    </xdr:from>
    <xdr:ext cx="2571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24</xdr:col>
      <xdr:colOff>43686</xdr:colOff>
      <xdr:row>63</xdr:row>
      <xdr:rowOff>22655</xdr:rowOff>
    </xdr:from>
    <xdr:ext cx="2571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25</xdr:col>
      <xdr:colOff>43686</xdr:colOff>
      <xdr:row>63</xdr:row>
      <xdr:rowOff>22655</xdr:rowOff>
    </xdr:from>
    <xdr:ext cx="2571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26</xdr:col>
      <xdr:colOff>43686</xdr:colOff>
      <xdr:row>63</xdr:row>
      <xdr:rowOff>22655</xdr:rowOff>
    </xdr:from>
    <xdr:ext cx="2571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27</xdr:col>
      <xdr:colOff>43686</xdr:colOff>
      <xdr:row>63</xdr:row>
      <xdr:rowOff>22655</xdr:rowOff>
    </xdr:from>
    <xdr:ext cx="2571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28</xdr:col>
      <xdr:colOff>43686</xdr:colOff>
      <xdr:row>63</xdr:row>
      <xdr:rowOff>22655</xdr:rowOff>
    </xdr:from>
    <xdr:ext cx="2571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29</xdr:col>
      <xdr:colOff>43686</xdr:colOff>
      <xdr:row>63</xdr:row>
      <xdr:rowOff>22655</xdr:rowOff>
    </xdr:from>
    <xdr:ext cx="2571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41</xdr:col>
      <xdr:colOff>42624</xdr:colOff>
      <xdr:row>63</xdr:row>
      <xdr:rowOff>22655</xdr:rowOff>
    </xdr:from>
    <xdr:ext cx="647700"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9</xdr:col>
      <xdr:colOff>43686</xdr:colOff>
      <xdr:row>64</xdr:row>
      <xdr:rowOff>22655</xdr:rowOff>
    </xdr:from>
    <xdr:ext cx="2571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10</xdr:col>
      <xdr:colOff>43686</xdr:colOff>
      <xdr:row>64</xdr:row>
      <xdr:rowOff>22655</xdr:rowOff>
    </xdr:from>
    <xdr:ext cx="2571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11</xdr:col>
      <xdr:colOff>43686</xdr:colOff>
      <xdr:row>64</xdr:row>
      <xdr:rowOff>22655</xdr:rowOff>
    </xdr:from>
    <xdr:ext cx="2571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12</xdr:col>
      <xdr:colOff>43686</xdr:colOff>
      <xdr:row>64</xdr:row>
      <xdr:rowOff>22655</xdr:rowOff>
    </xdr:from>
    <xdr:ext cx="257175"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13</xdr:col>
      <xdr:colOff>43686</xdr:colOff>
      <xdr:row>64</xdr:row>
      <xdr:rowOff>22655</xdr:rowOff>
    </xdr:from>
    <xdr:ext cx="2571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14</xdr:col>
      <xdr:colOff>43686</xdr:colOff>
      <xdr:row>64</xdr:row>
      <xdr:rowOff>22655</xdr:rowOff>
    </xdr:from>
    <xdr:ext cx="2571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15</xdr:col>
      <xdr:colOff>43686</xdr:colOff>
      <xdr:row>64</xdr:row>
      <xdr:rowOff>22655</xdr:rowOff>
    </xdr:from>
    <xdr:ext cx="2571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16</xdr:col>
      <xdr:colOff>43686</xdr:colOff>
      <xdr:row>64</xdr:row>
      <xdr:rowOff>22655</xdr:rowOff>
    </xdr:from>
    <xdr:ext cx="2571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17</xdr:col>
      <xdr:colOff>43686</xdr:colOff>
      <xdr:row>64</xdr:row>
      <xdr:rowOff>22655</xdr:rowOff>
    </xdr:from>
    <xdr:ext cx="2571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18</xdr:col>
      <xdr:colOff>43686</xdr:colOff>
      <xdr:row>64</xdr:row>
      <xdr:rowOff>22655</xdr:rowOff>
    </xdr:from>
    <xdr:ext cx="2571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19</xdr:col>
      <xdr:colOff>43686</xdr:colOff>
      <xdr:row>64</xdr:row>
      <xdr:rowOff>22655</xdr:rowOff>
    </xdr:from>
    <xdr:ext cx="2571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20</xdr:col>
      <xdr:colOff>43686</xdr:colOff>
      <xdr:row>64</xdr:row>
      <xdr:rowOff>22655</xdr:rowOff>
    </xdr:from>
    <xdr:ext cx="2571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21</xdr:col>
      <xdr:colOff>43686</xdr:colOff>
      <xdr:row>64</xdr:row>
      <xdr:rowOff>22655</xdr:rowOff>
    </xdr:from>
    <xdr:ext cx="2571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22</xdr:col>
      <xdr:colOff>43686</xdr:colOff>
      <xdr:row>64</xdr:row>
      <xdr:rowOff>22655</xdr:rowOff>
    </xdr:from>
    <xdr:ext cx="2571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23</xdr:col>
      <xdr:colOff>43686</xdr:colOff>
      <xdr:row>64</xdr:row>
      <xdr:rowOff>22655</xdr:rowOff>
    </xdr:from>
    <xdr:ext cx="2571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24</xdr:col>
      <xdr:colOff>43686</xdr:colOff>
      <xdr:row>64</xdr:row>
      <xdr:rowOff>22655</xdr:rowOff>
    </xdr:from>
    <xdr:ext cx="2571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25</xdr:col>
      <xdr:colOff>43686</xdr:colOff>
      <xdr:row>64</xdr:row>
      <xdr:rowOff>22655</xdr:rowOff>
    </xdr:from>
    <xdr:ext cx="2571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26</xdr:col>
      <xdr:colOff>43686</xdr:colOff>
      <xdr:row>64</xdr:row>
      <xdr:rowOff>22655</xdr:rowOff>
    </xdr:from>
    <xdr:ext cx="2571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27</xdr:col>
      <xdr:colOff>43686</xdr:colOff>
      <xdr:row>64</xdr:row>
      <xdr:rowOff>22655</xdr:rowOff>
    </xdr:from>
    <xdr:ext cx="2571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28</xdr:col>
      <xdr:colOff>43686</xdr:colOff>
      <xdr:row>64</xdr:row>
      <xdr:rowOff>22655</xdr:rowOff>
    </xdr:from>
    <xdr:ext cx="2571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29</xdr:col>
      <xdr:colOff>43686</xdr:colOff>
      <xdr:row>64</xdr:row>
      <xdr:rowOff>22655</xdr:rowOff>
    </xdr:from>
    <xdr:ext cx="2571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41</xdr:col>
      <xdr:colOff>42624</xdr:colOff>
      <xdr:row>64</xdr:row>
      <xdr:rowOff>22655</xdr:rowOff>
    </xdr:from>
    <xdr:ext cx="647700"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9</xdr:col>
      <xdr:colOff>43686</xdr:colOff>
      <xdr:row>65</xdr:row>
      <xdr:rowOff>22655</xdr:rowOff>
    </xdr:from>
    <xdr:ext cx="2571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10</xdr:col>
      <xdr:colOff>43686</xdr:colOff>
      <xdr:row>65</xdr:row>
      <xdr:rowOff>22655</xdr:rowOff>
    </xdr:from>
    <xdr:ext cx="2571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11</xdr:col>
      <xdr:colOff>43686</xdr:colOff>
      <xdr:row>65</xdr:row>
      <xdr:rowOff>22655</xdr:rowOff>
    </xdr:from>
    <xdr:ext cx="2571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12</xdr:col>
      <xdr:colOff>43686</xdr:colOff>
      <xdr:row>65</xdr:row>
      <xdr:rowOff>22655</xdr:rowOff>
    </xdr:from>
    <xdr:ext cx="2571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13</xdr:col>
      <xdr:colOff>43686</xdr:colOff>
      <xdr:row>65</xdr:row>
      <xdr:rowOff>22655</xdr:rowOff>
    </xdr:from>
    <xdr:ext cx="2571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14</xdr:col>
      <xdr:colOff>43686</xdr:colOff>
      <xdr:row>65</xdr:row>
      <xdr:rowOff>22655</xdr:rowOff>
    </xdr:from>
    <xdr:ext cx="2571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15</xdr:col>
      <xdr:colOff>43686</xdr:colOff>
      <xdr:row>65</xdr:row>
      <xdr:rowOff>22655</xdr:rowOff>
    </xdr:from>
    <xdr:ext cx="2571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16</xdr:col>
      <xdr:colOff>43686</xdr:colOff>
      <xdr:row>65</xdr:row>
      <xdr:rowOff>22655</xdr:rowOff>
    </xdr:from>
    <xdr:ext cx="2571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17</xdr:col>
      <xdr:colOff>43686</xdr:colOff>
      <xdr:row>65</xdr:row>
      <xdr:rowOff>22655</xdr:rowOff>
    </xdr:from>
    <xdr:ext cx="2571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18</xdr:col>
      <xdr:colOff>43686</xdr:colOff>
      <xdr:row>65</xdr:row>
      <xdr:rowOff>22655</xdr:rowOff>
    </xdr:from>
    <xdr:ext cx="2571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19</xdr:col>
      <xdr:colOff>43686</xdr:colOff>
      <xdr:row>65</xdr:row>
      <xdr:rowOff>22655</xdr:rowOff>
    </xdr:from>
    <xdr:ext cx="2571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20</xdr:col>
      <xdr:colOff>43686</xdr:colOff>
      <xdr:row>65</xdr:row>
      <xdr:rowOff>22655</xdr:rowOff>
    </xdr:from>
    <xdr:ext cx="2571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21</xdr:col>
      <xdr:colOff>43686</xdr:colOff>
      <xdr:row>65</xdr:row>
      <xdr:rowOff>22655</xdr:rowOff>
    </xdr:from>
    <xdr:ext cx="2571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22</xdr:col>
      <xdr:colOff>43686</xdr:colOff>
      <xdr:row>65</xdr:row>
      <xdr:rowOff>22655</xdr:rowOff>
    </xdr:from>
    <xdr:ext cx="2571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23</xdr:col>
      <xdr:colOff>43686</xdr:colOff>
      <xdr:row>65</xdr:row>
      <xdr:rowOff>22655</xdr:rowOff>
    </xdr:from>
    <xdr:ext cx="2571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24</xdr:col>
      <xdr:colOff>43686</xdr:colOff>
      <xdr:row>65</xdr:row>
      <xdr:rowOff>22655</xdr:rowOff>
    </xdr:from>
    <xdr:ext cx="2571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25</xdr:col>
      <xdr:colOff>43686</xdr:colOff>
      <xdr:row>65</xdr:row>
      <xdr:rowOff>22655</xdr:rowOff>
    </xdr:from>
    <xdr:ext cx="2571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26</xdr:col>
      <xdr:colOff>43686</xdr:colOff>
      <xdr:row>65</xdr:row>
      <xdr:rowOff>22655</xdr:rowOff>
    </xdr:from>
    <xdr:ext cx="2571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27</xdr:col>
      <xdr:colOff>43686</xdr:colOff>
      <xdr:row>65</xdr:row>
      <xdr:rowOff>22655</xdr:rowOff>
    </xdr:from>
    <xdr:ext cx="2571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28</xdr:col>
      <xdr:colOff>43686</xdr:colOff>
      <xdr:row>65</xdr:row>
      <xdr:rowOff>22655</xdr:rowOff>
    </xdr:from>
    <xdr:ext cx="2571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29</xdr:col>
      <xdr:colOff>43686</xdr:colOff>
      <xdr:row>65</xdr:row>
      <xdr:rowOff>22655</xdr:rowOff>
    </xdr:from>
    <xdr:ext cx="2571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41</xdr:col>
      <xdr:colOff>42624</xdr:colOff>
      <xdr:row>65</xdr:row>
      <xdr:rowOff>22655</xdr:rowOff>
    </xdr:from>
    <xdr:ext cx="647700"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9</xdr:col>
      <xdr:colOff>43686</xdr:colOff>
      <xdr:row>66</xdr:row>
      <xdr:rowOff>22655</xdr:rowOff>
    </xdr:from>
    <xdr:ext cx="2571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10</xdr:col>
      <xdr:colOff>43686</xdr:colOff>
      <xdr:row>66</xdr:row>
      <xdr:rowOff>22655</xdr:rowOff>
    </xdr:from>
    <xdr:ext cx="2571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11</xdr:col>
      <xdr:colOff>43686</xdr:colOff>
      <xdr:row>66</xdr:row>
      <xdr:rowOff>22655</xdr:rowOff>
    </xdr:from>
    <xdr:ext cx="2571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12</xdr:col>
      <xdr:colOff>43686</xdr:colOff>
      <xdr:row>66</xdr:row>
      <xdr:rowOff>22655</xdr:rowOff>
    </xdr:from>
    <xdr:ext cx="2571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13</xdr:col>
      <xdr:colOff>43686</xdr:colOff>
      <xdr:row>66</xdr:row>
      <xdr:rowOff>22655</xdr:rowOff>
    </xdr:from>
    <xdr:ext cx="2571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14</xdr:col>
      <xdr:colOff>43686</xdr:colOff>
      <xdr:row>66</xdr:row>
      <xdr:rowOff>22655</xdr:rowOff>
    </xdr:from>
    <xdr:ext cx="2571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15</xdr:col>
      <xdr:colOff>43686</xdr:colOff>
      <xdr:row>66</xdr:row>
      <xdr:rowOff>22655</xdr:rowOff>
    </xdr:from>
    <xdr:ext cx="2571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16</xdr:col>
      <xdr:colOff>43686</xdr:colOff>
      <xdr:row>66</xdr:row>
      <xdr:rowOff>22655</xdr:rowOff>
    </xdr:from>
    <xdr:ext cx="2571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17</xdr:col>
      <xdr:colOff>43686</xdr:colOff>
      <xdr:row>66</xdr:row>
      <xdr:rowOff>22655</xdr:rowOff>
    </xdr:from>
    <xdr:ext cx="2571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18</xdr:col>
      <xdr:colOff>43686</xdr:colOff>
      <xdr:row>66</xdr:row>
      <xdr:rowOff>22655</xdr:rowOff>
    </xdr:from>
    <xdr:ext cx="2571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19</xdr:col>
      <xdr:colOff>43686</xdr:colOff>
      <xdr:row>66</xdr:row>
      <xdr:rowOff>22655</xdr:rowOff>
    </xdr:from>
    <xdr:ext cx="2571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20</xdr:col>
      <xdr:colOff>43686</xdr:colOff>
      <xdr:row>66</xdr:row>
      <xdr:rowOff>22655</xdr:rowOff>
    </xdr:from>
    <xdr:ext cx="2571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21</xdr:col>
      <xdr:colOff>43686</xdr:colOff>
      <xdr:row>66</xdr:row>
      <xdr:rowOff>22655</xdr:rowOff>
    </xdr:from>
    <xdr:ext cx="2571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22</xdr:col>
      <xdr:colOff>43686</xdr:colOff>
      <xdr:row>66</xdr:row>
      <xdr:rowOff>22655</xdr:rowOff>
    </xdr:from>
    <xdr:ext cx="2571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23</xdr:col>
      <xdr:colOff>43686</xdr:colOff>
      <xdr:row>66</xdr:row>
      <xdr:rowOff>22655</xdr:rowOff>
    </xdr:from>
    <xdr:ext cx="2571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24</xdr:col>
      <xdr:colOff>43686</xdr:colOff>
      <xdr:row>66</xdr:row>
      <xdr:rowOff>22655</xdr:rowOff>
    </xdr:from>
    <xdr:ext cx="2571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25</xdr:col>
      <xdr:colOff>43686</xdr:colOff>
      <xdr:row>66</xdr:row>
      <xdr:rowOff>22655</xdr:rowOff>
    </xdr:from>
    <xdr:ext cx="2571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26</xdr:col>
      <xdr:colOff>43686</xdr:colOff>
      <xdr:row>66</xdr:row>
      <xdr:rowOff>22655</xdr:rowOff>
    </xdr:from>
    <xdr:ext cx="2571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27</xdr:col>
      <xdr:colOff>43686</xdr:colOff>
      <xdr:row>66</xdr:row>
      <xdr:rowOff>22655</xdr:rowOff>
    </xdr:from>
    <xdr:ext cx="2571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28</xdr:col>
      <xdr:colOff>43686</xdr:colOff>
      <xdr:row>66</xdr:row>
      <xdr:rowOff>22655</xdr:rowOff>
    </xdr:from>
    <xdr:ext cx="2571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29</xdr:col>
      <xdr:colOff>43686</xdr:colOff>
      <xdr:row>66</xdr:row>
      <xdr:rowOff>22655</xdr:rowOff>
    </xdr:from>
    <xdr:ext cx="2571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41</xdr:col>
      <xdr:colOff>42624</xdr:colOff>
      <xdr:row>66</xdr:row>
      <xdr:rowOff>22655</xdr:rowOff>
    </xdr:from>
    <xdr:ext cx="647700"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9</xdr:col>
      <xdr:colOff>43686</xdr:colOff>
      <xdr:row>67</xdr:row>
      <xdr:rowOff>22655</xdr:rowOff>
    </xdr:from>
    <xdr:ext cx="2571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10</xdr:col>
      <xdr:colOff>43686</xdr:colOff>
      <xdr:row>67</xdr:row>
      <xdr:rowOff>22655</xdr:rowOff>
    </xdr:from>
    <xdr:ext cx="2571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11</xdr:col>
      <xdr:colOff>43686</xdr:colOff>
      <xdr:row>67</xdr:row>
      <xdr:rowOff>22655</xdr:rowOff>
    </xdr:from>
    <xdr:ext cx="2571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12</xdr:col>
      <xdr:colOff>43686</xdr:colOff>
      <xdr:row>67</xdr:row>
      <xdr:rowOff>22655</xdr:rowOff>
    </xdr:from>
    <xdr:ext cx="2571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13</xdr:col>
      <xdr:colOff>43686</xdr:colOff>
      <xdr:row>67</xdr:row>
      <xdr:rowOff>22655</xdr:rowOff>
    </xdr:from>
    <xdr:ext cx="2571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14</xdr:col>
      <xdr:colOff>43686</xdr:colOff>
      <xdr:row>67</xdr:row>
      <xdr:rowOff>22655</xdr:rowOff>
    </xdr:from>
    <xdr:ext cx="2571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15</xdr:col>
      <xdr:colOff>43686</xdr:colOff>
      <xdr:row>67</xdr:row>
      <xdr:rowOff>22655</xdr:rowOff>
    </xdr:from>
    <xdr:ext cx="2571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16</xdr:col>
      <xdr:colOff>43686</xdr:colOff>
      <xdr:row>67</xdr:row>
      <xdr:rowOff>22655</xdr:rowOff>
    </xdr:from>
    <xdr:ext cx="2571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17</xdr:col>
      <xdr:colOff>43686</xdr:colOff>
      <xdr:row>67</xdr:row>
      <xdr:rowOff>22655</xdr:rowOff>
    </xdr:from>
    <xdr:ext cx="2571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18</xdr:col>
      <xdr:colOff>43686</xdr:colOff>
      <xdr:row>67</xdr:row>
      <xdr:rowOff>22655</xdr:rowOff>
    </xdr:from>
    <xdr:ext cx="2571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19</xdr:col>
      <xdr:colOff>43686</xdr:colOff>
      <xdr:row>67</xdr:row>
      <xdr:rowOff>22655</xdr:rowOff>
    </xdr:from>
    <xdr:ext cx="2571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20</xdr:col>
      <xdr:colOff>43686</xdr:colOff>
      <xdr:row>67</xdr:row>
      <xdr:rowOff>22655</xdr:rowOff>
    </xdr:from>
    <xdr:ext cx="2571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21</xdr:col>
      <xdr:colOff>43686</xdr:colOff>
      <xdr:row>67</xdr:row>
      <xdr:rowOff>22655</xdr:rowOff>
    </xdr:from>
    <xdr:ext cx="2571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22</xdr:col>
      <xdr:colOff>43686</xdr:colOff>
      <xdr:row>67</xdr:row>
      <xdr:rowOff>22655</xdr:rowOff>
    </xdr:from>
    <xdr:ext cx="2571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23</xdr:col>
      <xdr:colOff>43686</xdr:colOff>
      <xdr:row>67</xdr:row>
      <xdr:rowOff>22655</xdr:rowOff>
    </xdr:from>
    <xdr:ext cx="2571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24</xdr:col>
      <xdr:colOff>43686</xdr:colOff>
      <xdr:row>67</xdr:row>
      <xdr:rowOff>22655</xdr:rowOff>
    </xdr:from>
    <xdr:ext cx="2571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25</xdr:col>
      <xdr:colOff>43686</xdr:colOff>
      <xdr:row>67</xdr:row>
      <xdr:rowOff>22655</xdr:rowOff>
    </xdr:from>
    <xdr:ext cx="2571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26</xdr:col>
      <xdr:colOff>43686</xdr:colOff>
      <xdr:row>67</xdr:row>
      <xdr:rowOff>22655</xdr:rowOff>
    </xdr:from>
    <xdr:ext cx="2571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27</xdr:col>
      <xdr:colOff>43686</xdr:colOff>
      <xdr:row>67</xdr:row>
      <xdr:rowOff>22655</xdr:rowOff>
    </xdr:from>
    <xdr:ext cx="2571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28</xdr:col>
      <xdr:colOff>43686</xdr:colOff>
      <xdr:row>67</xdr:row>
      <xdr:rowOff>22655</xdr:rowOff>
    </xdr:from>
    <xdr:ext cx="2571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29</xdr:col>
      <xdr:colOff>43686</xdr:colOff>
      <xdr:row>67</xdr:row>
      <xdr:rowOff>22655</xdr:rowOff>
    </xdr:from>
    <xdr:ext cx="2571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41</xdr:col>
      <xdr:colOff>42624</xdr:colOff>
      <xdr:row>67</xdr:row>
      <xdr:rowOff>22655</xdr:rowOff>
    </xdr:from>
    <xdr:ext cx="647700"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5</xdr:col>
      <xdr:colOff>54847</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6</xdr:col>
      <xdr:colOff>43686</xdr:colOff>
      <xdr:row>12</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7</xdr:col>
      <xdr:colOff>43686</xdr:colOff>
      <xdr:row>12</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8</xdr:col>
      <xdr:colOff>43686</xdr:colOff>
      <xdr:row>12</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9</xdr:col>
      <xdr:colOff>43686</xdr:colOff>
      <xdr:row>12</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10</xdr:col>
      <xdr:colOff>43686</xdr:colOff>
      <xdr:row>12</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11</xdr:col>
      <xdr:colOff>43686</xdr:colOff>
      <xdr:row>12</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12</xdr:col>
      <xdr:colOff>43686</xdr:colOff>
      <xdr:row>12</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13</xdr:col>
      <xdr:colOff>43686</xdr:colOff>
      <xdr:row>12</xdr:row>
      <xdr:rowOff>22655</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14</xdr:col>
      <xdr:colOff>43686</xdr:colOff>
      <xdr:row>12</xdr:row>
      <xdr:rowOff>22655</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15</xdr:col>
      <xdr:colOff>43686</xdr:colOff>
      <xdr:row>12</xdr:row>
      <xdr:rowOff>22655</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16</xdr:col>
      <xdr:colOff>43686</xdr:colOff>
      <xdr:row>12</xdr:row>
      <xdr:rowOff>22655</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17</xdr:col>
      <xdr:colOff>43686</xdr:colOff>
      <xdr:row>12</xdr:row>
      <xdr:rowOff>22655</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18</xdr:col>
      <xdr:colOff>43686</xdr:colOff>
      <xdr:row>12</xdr:row>
      <xdr:rowOff>22655</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19</xdr:col>
      <xdr:colOff>43686</xdr:colOff>
      <xdr:row>12</xdr:row>
      <xdr:rowOff>22655</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20</xdr:col>
      <xdr:colOff>43686</xdr:colOff>
      <xdr:row>12</xdr:row>
      <xdr:rowOff>22655</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21</xdr:col>
      <xdr:colOff>43686</xdr:colOff>
      <xdr:row>12</xdr:row>
      <xdr:rowOff>22655</xdr:rowOff>
    </xdr:from>
    <xdr:ext cx="2571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22</xdr:col>
      <xdr:colOff>43686</xdr:colOff>
      <xdr:row>12</xdr:row>
      <xdr:rowOff>22655</xdr:rowOff>
    </xdr:from>
    <xdr:ext cx="2571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23</xdr:col>
      <xdr:colOff>43686</xdr:colOff>
      <xdr:row>12</xdr:row>
      <xdr:rowOff>22655</xdr:rowOff>
    </xdr:from>
    <xdr:ext cx="257175" cy="219075"/>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24</xdr:col>
      <xdr:colOff>43686</xdr:colOff>
      <xdr:row>12</xdr:row>
      <xdr:rowOff>22655</xdr:rowOff>
    </xdr:from>
    <xdr:ext cx="257175" cy="219075"/>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25</xdr:col>
      <xdr:colOff>43686</xdr:colOff>
      <xdr:row>12</xdr:row>
      <xdr:rowOff>22655</xdr:rowOff>
    </xdr:from>
    <xdr:ext cx="257175" cy="219075"/>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26</xdr:col>
      <xdr:colOff>43686</xdr:colOff>
      <xdr:row>12</xdr:row>
      <xdr:rowOff>22655</xdr:rowOff>
    </xdr:from>
    <xdr:ext cx="2571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41</xdr:col>
      <xdr:colOff>42624</xdr:colOff>
      <xdr:row>12</xdr:row>
      <xdr:rowOff>22655</xdr:rowOff>
    </xdr:from>
    <xdr:ext cx="647700"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5</xdr:col>
      <xdr:colOff>54847</xdr:colOff>
      <xdr:row>13</xdr:row>
      <xdr:rowOff>22655</xdr:rowOff>
    </xdr:from>
    <xdr:ext cx="257175"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6</xdr:col>
      <xdr:colOff>43686</xdr:colOff>
      <xdr:row>13</xdr:row>
      <xdr:rowOff>22655</xdr:rowOff>
    </xdr:from>
    <xdr:ext cx="2571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7</xdr:col>
      <xdr:colOff>43686</xdr:colOff>
      <xdr:row>13</xdr:row>
      <xdr:rowOff>22655</xdr:rowOff>
    </xdr:from>
    <xdr:ext cx="2571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8</xdr:col>
      <xdr:colOff>43686</xdr:colOff>
      <xdr:row>13</xdr:row>
      <xdr:rowOff>22655</xdr:rowOff>
    </xdr:from>
    <xdr:ext cx="2571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9</xdr:col>
      <xdr:colOff>43686</xdr:colOff>
      <xdr:row>13</xdr:row>
      <xdr:rowOff>22655</xdr:rowOff>
    </xdr:from>
    <xdr:ext cx="2571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10</xdr:col>
      <xdr:colOff>43686</xdr:colOff>
      <xdr:row>13</xdr:row>
      <xdr:rowOff>22655</xdr:rowOff>
    </xdr:from>
    <xdr:ext cx="2571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11</xdr:col>
      <xdr:colOff>43686</xdr:colOff>
      <xdr:row>13</xdr:row>
      <xdr:rowOff>22655</xdr:rowOff>
    </xdr:from>
    <xdr:ext cx="2571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12</xdr:col>
      <xdr:colOff>43686</xdr:colOff>
      <xdr:row>13</xdr:row>
      <xdr:rowOff>22655</xdr:rowOff>
    </xdr:from>
    <xdr:ext cx="2571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13</xdr:col>
      <xdr:colOff>43686</xdr:colOff>
      <xdr:row>13</xdr:row>
      <xdr:rowOff>22655</xdr:rowOff>
    </xdr:from>
    <xdr:ext cx="2571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14</xdr:col>
      <xdr:colOff>43686</xdr:colOff>
      <xdr:row>13</xdr:row>
      <xdr:rowOff>22655</xdr:rowOff>
    </xdr:from>
    <xdr:ext cx="2571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15</xdr:col>
      <xdr:colOff>43686</xdr:colOff>
      <xdr:row>13</xdr:row>
      <xdr:rowOff>22655</xdr:rowOff>
    </xdr:from>
    <xdr:ext cx="2571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16</xdr:col>
      <xdr:colOff>43686</xdr:colOff>
      <xdr:row>13</xdr:row>
      <xdr:rowOff>22655</xdr:rowOff>
    </xdr:from>
    <xdr:ext cx="2571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17</xdr:col>
      <xdr:colOff>43686</xdr:colOff>
      <xdr:row>13</xdr:row>
      <xdr:rowOff>22655</xdr:rowOff>
    </xdr:from>
    <xdr:ext cx="2571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18</xdr:col>
      <xdr:colOff>43686</xdr:colOff>
      <xdr:row>13</xdr:row>
      <xdr:rowOff>22655</xdr:rowOff>
    </xdr:from>
    <xdr:ext cx="2571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19</xdr:col>
      <xdr:colOff>43686</xdr:colOff>
      <xdr:row>13</xdr:row>
      <xdr:rowOff>22655</xdr:rowOff>
    </xdr:from>
    <xdr:ext cx="2571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20</xdr:col>
      <xdr:colOff>43686</xdr:colOff>
      <xdr:row>13</xdr:row>
      <xdr:rowOff>22655</xdr:rowOff>
    </xdr:from>
    <xdr:ext cx="2571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21</xdr:col>
      <xdr:colOff>43686</xdr:colOff>
      <xdr:row>13</xdr:row>
      <xdr:rowOff>22655</xdr:rowOff>
    </xdr:from>
    <xdr:ext cx="2571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22</xdr:col>
      <xdr:colOff>43686</xdr:colOff>
      <xdr:row>13</xdr:row>
      <xdr:rowOff>22655</xdr:rowOff>
    </xdr:from>
    <xdr:ext cx="2571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23</xdr:col>
      <xdr:colOff>43686</xdr:colOff>
      <xdr:row>13</xdr:row>
      <xdr:rowOff>22655</xdr:rowOff>
    </xdr:from>
    <xdr:ext cx="2571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24</xdr:col>
      <xdr:colOff>43686</xdr:colOff>
      <xdr:row>13</xdr:row>
      <xdr:rowOff>22655</xdr:rowOff>
    </xdr:from>
    <xdr:ext cx="257175" cy="219075"/>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25</xdr:col>
      <xdr:colOff>43686</xdr:colOff>
      <xdr:row>13</xdr:row>
      <xdr:rowOff>22655</xdr:rowOff>
    </xdr:from>
    <xdr:ext cx="257175" cy="219075"/>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26</xdr:col>
      <xdr:colOff>43686</xdr:colOff>
      <xdr:row>13</xdr:row>
      <xdr:rowOff>22655</xdr:rowOff>
    </xdr:from>
    <xdr:ext cx="257175" cy="219075"/>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41</xdr:col>
      <xdr:colOff>42624</xdr:colOff>
      <xdr:row>13</xdr:row>
      <xdr:rowOff>22655</xdr:rowOff>
    </xdr:from>
    <xdr:ext cx="647700" cy="219075"/>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5</xdr:col>
      <xdr:colOff>54847</xdr:colOff>
      <xdr:row>14</xdr:row>
      <xdr:rowOff>22655</xdr:rowOff>
    </xdr:from>
    <xdr:ext cx="2571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6</xdr:col>
      <xdr:colOff>43686</xdr:colOff>
      <xdr:row>14</xdr:row>
      <xdr:rowOff>22655</xdr:rowOff>
    </xdr:from>
    <xdr:ext cx="2571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7</xdr:col>
      <xdr:colOff>43686</xdr:colOff>
      <xdr:row>14</xdr:row>
      <xdr:rowOff>22655</xdr:rowOff>
    </xdr:from>
    <xdr:ext cx="257175"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8</xdr:col>
      <xdr:colOff>43686</xdr:colOff>
      <xdr:row>14</xdr:row>
      <xdr:rowOff>22655</xdr:rowOff>
    </xdr:from>
    <xdr:ext cx="2571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9</xdr:col>
      <xdr:colOff>43686</xdr:colOff>
      <xdr:row>14</xdr:row>
      <xdr:rowOff>22655</xdr:rowOff>
    </xdr:from>
    <xdr:ext cx="2571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10</xdr:col>
      <xdr:colOff>43686</xdr:colOff>
      <xdr:row>14</xdr:row>
      <xdr:rowOff>22655</xdr:rowOff>
    </xdr:from>
    <xdr:ext cx="2571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11</xdr:col>
      <xdr:colOff>43686</xdr:colOff>
      <xdr:row>14</xdr:row>
      <xdr:rowOff>22655</xdr:rowOff>
    </xdr:from>
    <xdr:ext cx="2571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12</xdr:col>
      <xdr:colOff>43686</xdr:colOff>
      <xdr:row>14</xdr:row>
      <xdr:rowOff>22655</xdr:rowOff>
    </xdr:from>
    <xdr:ext cx="2571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13</xdr:col>
      <xdr:colOff>43686</xdr:colOff>
      <xdr:row>14</xdr:row>
      <xdr:rowOff>22655</xdr:rowOff>
    </xdr:from>
    <xdr:ext cx="2571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14</xdr:col>
      <xdr:colOff>43686</xdr:colOff>
      <xdr:row>14</xdr:row>
      <xdr:rowOff>22655</xdr:rowOff>
    </xdr:from>
    <xdr:ext cx="2571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15</xdr:col>
      <xdr:colOff>43686</xdr:colOff>
      <xdr:row>14</xdr:row>
      <xdr:rowOff>22655</xdr:rowOff>
    </xdr:from>
    <xdr:ext cx="2571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16</xdr:col>
      <xdr:colOff>43686</xdr:colOff>
      <xdr:row>14</xdr:row>
      <xdr:rowOff>22655</xdr:rowOff>
    </xdr:from>
    <xdr:ext cx="2571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17</xdr:col>
      <xdr:colOff>43686</xdr:colOff>
      <xdr:row>14</xdr:row>
      <xdr:rowOff>22655</xdr:rowOff>
    </xdr:from>
    <xdr:ext cx="2571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18</xdr:col>
      <xdr:colOff>43686</xdr:colOff>
      <xdr:row>14</xdr:row>
      <xdr:rowOff>22655</xdr:rowOff>
    </xdr:from>
    <xdr:ext cx="2571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19</xdr:col>
      <xdr:colOff>43686</xdr:colOff>
      <xdr:row>14</xdr:row>
      <xdr:rowOff>22655</xdr:rowOff>
    </xdr:from>
    <xdr:ext cx="2571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20</xdr:col>
      <xdr:colOff>43686</xdr:colOff>
      <xdr:row>14</xdr:row>
      <xdr:rowOff>22655</xdr:rowOff>
    </xdr:from>
    <xdr:ext cx="2571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21</xdr:col>
      <xdr:colOff>43686</xdr:colOff>
      <xdr:row>14</xdr:row>
      <xdr:rowOff>22655</xdr:rowOff>
    </xdr:from>
    <xdr:ext cx="2571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22</xdr:col>
      <xdr:colOff>43686</xdr:colOff>
      <xdr:row>14</xdr:row>
      <xdr:rowOff>22655</xdr:rowOff>
    </xdr:from>
    <xdr:ext cx="2571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23</xdr:col>
      <xdr:colOff>43686</xdr:colOff>
      <xdr:row>14</xdr:row>
      <xdr:rowOff>22655</xdr:rowOff>
    </xdr:from>
    <xdr:ext cx="2571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24</xdr:col>
      <xdr:colOff>43686</xdr:colOff>
      <xdr:row>14</xdr:row>
      <xdr:rowOff>22655</xdr:rowOff>
    </xdr:from>
    <xdr:ext cx="2571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25</xdr:col>
      <xdr:colOff>43686</xdr:colOff>
      <xdr:row>14</xdr:row>
      <xdr:rowOff>22655</xdr:rowOff>
    </xdr:from>
    <xdr:ext cx="2571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26</xdr:col>
      <xdr:colOff>43686</xdr:colOff>
      <xdr:row>14</xdr:row>
      <xdr:rowOff>22655</xdr:rowOff>
    </xdr:from>
    <xdr:ext cx="2571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41</xdr:col>
      <xdr:colOff>42624</xdr:colOff>
      <xdr:row>14</xdr:row>
      <xdr:rowOff>22655</xdr:rowOff>
    </xdr:from>
    <xdr:ext cx="647700"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5</xdr:col>
      <xdr:colOff>54847</xdr:colOff>
      <xdr:row>63</xdr:row>
      <xdr:rowOff>22655</xdr:rowOff>
    </xdr:from>
    <xdr:ext cx="2571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6</xdr:col>
      <xdr:colOff>43686</xdr:colOff>
      <xdr:row>63</xdr:row>
      <xdr:rowOff>22655</xdr:rowOff>
    </xdr:from>
    <xdr:ext cx="2571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7</xdr:col>
      <xdr:colOff>43686</xdr:colOff>
      <xdr:row>63</xdr:row>
      <xdr:rowOff>22655</xdr:rowOff>
    </xdr:from>
    <xdr:ext cx="2571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8</xdr:col>
      <xdr:colOff>43686</xdr:colOff>
      <xdr:row>63</xdr:row>
      <xdr:rowOff>22655</xdr:rowOff>
    </xdr:from>
    <xdr:ext cx="257175"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9</xdr:col>
      <xdr:colOff>43686</xdr:colOff>
      <xdr:row>63</xdr:row>
      <xdr:rowOff>22655</xdr:rowOff>
    </xdr:from>
    <xdr:ext cx="2571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10</xdr:col>
      <xdr:colOff>43686</xdr:colOff>
      <xdr:row>63</xdr:row>
      <xdr:rowOff>22655</xdr:rowOff>
    </xdr:from>
    <xdr:ext cx="2571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11</xdr:col>
      <xdr:colOff>43686</xdr:colOff>
      <xdr:row>63</xdr:row>
      <xdr:rowOff>22655</xdr:rowOff>
    </xdr:from>
    <xdr:ext cx="2571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12</xdr:col>
      <xdr:colOff>43686</xdr:colOff>
      <xdr:row>63</xdr:row>
      <xdr:rowOff>22655</xdr:rowOff>
    </xdr:from>
    <xdr:ext cx="2571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13</xdr:col>
      <xdr:colOff>43686</xdr:colOff>
      <xdr:row>63</xdr:row>
      <xdr:rowOff>22655</xdr:rowOff>
    </xdr:from>
    <xdr:ext cx="2571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14</xdr:col>
      <xdr:colOff>43686</xdr:colOff>
      <xdr:row>63</xdr:row>
      <xdr:rowOff>22655</xdr:rowOff>
    </xdr:from>
    <xdr:ext cx="2571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15</xdr:col>
      <xdr:colOff>43686</xdr:colOff>
      <xdr:row>63</xdr:row>
      <xdr:rowOff>22655</xdr:rowOff>
    </xdr:from>
    <xdr:ext cx="2571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16</xdr:col>
      <xdr:colOff>43686</xdr:colOff>
      <xdr:row>63</xdr:row>
      <xdr:rowOff>22655</xdr:rowOff>
    </xdr:from>
    <xdr:ext cx="2571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17</xdr:col>
      <xdr:colOff>43686</xdr:colOff>
      <xdr:row>63</xdr:row>
      <xdr:rowOff>22655</xdr:rowOff>
    </xdr:from>
    <xdr:ext cx="2571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18</xdr:col>
      <xdr:colOff>43686</xdr:colOff>
      <xdr:row>63</xdr:row>
      <xdr:rowOff>22655</xdr:rowOff>
    </xdr:from>
    <xdr:ext cx="2571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19</xdr:col>
      <xdr:colOff>43686</xdr:colOff>
      <xdr:row>63</xdr:row>
      <xdr:rowOff>22655</xdr:rowOff>
    </xdr:from>
    <xdr:ext cx="2571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20</xdr:col>
      <xdr:colOff>43686</xdr:colOff>
      <xdr:row>63</xdr:row>
      <xdr:rowOff>22655</xdr:rowOff>
    </xdr:from>
    <xdr:ext cx="2571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21</xdr:col>
      <xdr:colOff>43686</xdr:colOff>
      <xdr:row>63</xdr:row>
      <xdr:rowOff>22655</xdr:rowOff>
    </xdr:from>
    <xdr:ext cx="2571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22</xdr:col>
      <xdr:colOff>43686</xdr:colOff>
      <xdr:row>63</xdr:row>
      <xdr:rowOff>22655</xdr:rowOff>
    </xdr:from>
    <xdr:ext cx="2571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23</xdr:col>
      <xdr:colOff>43686</xdr:colOff>
      <xdr:row>63</xdr:row>
      <xdr:rowOff>22655</xdr:rowOff>
    </xdr:from>
    <xdr:ext cx="2571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24</xdr:col>
      <xdr:colOff>43686</xdr:colOff>
      <xdr:row>63</xdr:row>
      <xdr:rowOff>22655</xdr:rowOff>
    </xdr:from>
    <xdr:ext cx="2571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25</xdr:col>
      <xdr:colOff>43686</xdr:colOff>
      <xdr:row>63</xdr:row>
      <xdr:rowOff>22655</xdr:rowOff>
    </xdr:from>
    <xdr:ext cx="2571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26</xdr:col>
      <xdr:colOff>43686</xdr:colOff>
      <xdr:row>63</xdr:row>
      <xdr:rowOff>22655</xdr:rowOff>
    </xdr:from>
    <xdr:ext cx="2571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41</xdr:col>
      <xdr:colOff>42624</xdr:colOff>
      <xdr:row>63</xdr:row>
      <xdr:rowOff>22655</xdr:rowOff>
    </xdr:from>
    <xdr:ext cx="647700" cy="219075"/>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5</xdr:col>
      <xdr:colOff>54847</xdr:colOff>
      <xdr:row>64</xdr:row>
      <xdr:rowOff>22655</xdr:rowOff>
    </xdr:from>
    <xdr:ext cx="257175" cy="219075"/>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6</xdr:col>
      <xdr:colOff>43686</xdr:colOff>
      <xdr:row>64</xdr:row>
      <xdr:rowOff>22655</xdr:rowOff>
    </xdr:from>
    <xdr:ext cx="2571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7</xdr:col>
      <xdr:colOff>43686</xdr:colOff>
      <xdr:row>64</xdr:row>
      <xdr:rowOff>22655</xdr:rowOff>
    </xdr:from>
    <xdr:ext cx="2571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8</xdr:col>
      <xdr:colOff>43686</xdr:colOff>
      <xdr:row>64</xdr:row>
      <xdr:rowOff>22655</xdr:rowOff>
    </xdr:from>
    <xdr:ext cx="2571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9</xdr:col>
      <xdr:colOff>43686</xdr:colOff>
      <xdr:row>64</xdr:row>
      <xdr:rowOff>22655</xdr:rowOff>
    </xdr:from>
    <xdr:ext cx="257175"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10</xdr:col>
      <xdr:colOff>43686</xdr:colOff>
      <xdr:row>64</xdr:row>
      <xdr:rowOff>22655</xdr:rowOff>
    </xdr:from>
    <xdr:ext cx="2571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11</xdr:col>
      <xdr:colOff>43686</xdr:colOff>
      <xdr:row>64</xdr:row>
      <xdr:rowOff>22655</xdr:rowOff>
    </xdr:from>
    <xdr:ext cx="2571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12</xdr:col>
      <xdr:colOff>43686</xdr:colOff>
      <xdr:row>64</xdr:row>
      <xdr:rowOff>22655</xdr:rowOff>
    </xdr:from>
    <xdr:ext cx="2571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13</xdr:col>
      <xdr:colOff>43686</xdr:colOff>
      <xdr:row>64</xdr:row>
      <xdr:rowOff>22655</xdr:rowOff>
    </xdr:from>
    <xdr:ext cx="2571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14</xdr:col>
      <xdr:colOff>43686</xdr:colOff>
      <xdr:row>64</xdr:row>
      <xdr:rowOff>22655</xdr:rowOff>
    </xdr:from>
    <xdr:ext cx="2571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15</xdr:col>
      <xdr:colOff>43686</xdr:colOff>
      <xdr:row>64</xdr:row>
      <xdr:rowOff>22655</xdr:rowOff>
    </xdr:from>
    <xdr:ext cx="2571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16</xdr:col>
      <xdr:colOff>43686</xdr:colOff>
      <xdr:row>64</xdr:row>
      <xdr:rowOff>22655</xdr:rowOff>
    </xdr:from>
    <xdr:ext cx="2571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17</xdr:col>
      <xdr:colOff>43686</xdr:colOff>
      <xdr:row>64</xdr:row>
      <xdr:rowOff>22655</xdr:rowOff>
    </xdr:from>
    <xdr:ext cx="2571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18</xdr:col>
      <xdr:colOff>43686</xdr:colOff>
      <xdr:row>64</xdr:row>
      <xdr:rowOff>22655</xdr:rowOff>
    </xdr:from>
    <xdr:ext cx="2571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19</xdr:col>
      <xdr:colOff>43686</xdr:colOff>
      <xdr:row>64</xdr:row>
      <xdr:rowOff>22655</xdr:rowOff>
    </xdr:from>
    <xdr:ext cx="2571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20</xdr:col>
      <xdr:colOff>43686</xdr:colOff>
      <xdr:row>64</xdr:row>
      <xdr:rowOff>22655</xdr:rowOff>
    </xdr:from>
    <xdr:ext cx="2571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21</xdr:col>
      <xdr:colOff>43686</xdr:colOff>
      <xdr:row>64</xdr:row>
      <xdr:rowOff>22655</xdr:rowOff>
    </xdr:from>
    <xdr:ext cx="2571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22</xdr:col>
      <xdr:colOff>43686</xdr:colOff>
      <xdr:row>64</xdr:row>
      <xdr:rowOff>22655</xdr:rowOff>
    </xdr:from>
    <xdr:ext cx="2571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23</xdr:col>
      <xdr:colOff>43686</xdr:colOff>
      <xdr:row>64</xdr:row>
      <xdr:rowOff>22655</xdr:rowOff>
    </xdr:from>
    <xdr:ext cx="2571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24</xdr:col>
      <xdr:colOff>43686</xdr:colOff>
      <xdr:row>64</xdr:row>
      <xdr:rowOff>22655</xdr:rowOff>
    </xdr:from>
    <xdr:ext cx="2571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25</xdr:col>
      <xdr:colOff>43686</xdr:colOff>
      <xdr:row>64</xdr:row>
      <xdr:rowOff>22655</xdr:rowOff>
    </xdr:from>
    <xdr:ext cx="2571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26</xdr:col>
      <xdr:colOff>43686</xdr:colOff>
      <xdr:row>64</xdr:row>
      <xdr:rowOff>22655</xdr:rowOff>
    </xdr:from>
    <xdr:ext cx="2571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41</xdr:col>
      <xdr:colOff>42624</xdr:colOff>
      <xdr:row>64</xdr:row>
      <xdr:rowOff>22655</xdr:rowOff>
    </xdr:from>
    <xdr:ext cx="647700"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5</xdr:col>
      <xdr:colOff>54847</xdr:colOff>
      <xdr:row>65</xdr:row>
      <xdr:rowOff>22655</xdr:rowOff>
    </xdr:from>
    <xdr:ext cx="257175" cy="219075"/>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6</xdr:col>
      <xdr:colOff>43686</xdr:colOff>
      <xdr:row>65</xdr:row>
      <xdr:rowOff>22655</xdr:rowOff>
    </xdr:from>
    <xdr:ext cx="257175" cy="219075"/>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7</xdr:col>
      <xdr:colOff>43686</xdr:colOff>
      <xdr:row>65</xdr:row>
      <xdr:rowOff>22655</xdr:rowOff>
    </xdr:from>
    <xdr:ext cx="257175" cy="219075"/>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8</xdr:col>
      <xdr:colOff>43686</xdr:colOff>
      <xdr:row>65</xdr:row>
      <xdr:rowOff>22655</xdr:rowOff>
    </xdr:from>
    <xdr:ext cx="2571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9</xdr:col>
      <xdr:colOff>43686</xdr:colOff>
      <xdr:row>65</xdr:row>
      <xdr:rowOff>22655</xdr:rowOff>
    </xdr:from>
    <xdr:ext cx="2571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10</xdr:col>
      <xdr:colOff>43686</xdr:colOff>
      <xdr:row>65</xdr:row>
      <xdr:rowOff>22655</xdr:rowOff>
    </xdr:from>
    <xdr:ext cx="257175"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11</xdr:col>
      <xdr:colOff>43686</xdr:colOff>
      <xdr:row>65</xdr:row>
      <xdr:rowOff>22655</xdr:rowOff>
    </xdr:from>
    <xdr:ext cx="2571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12</xdr:col>
      <xdr:colOff>43686</xdr:colOff>
      <xdr:row>65</xdr:row>
      <xdr:rowOff>22655</xdr:rowOff>
    </xdr:from>
    <xdr:ext cx="2571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13</xdr:col>
      <xdr:colOff>43686</xdr:colOff>
      <xdr:row>65</xdr:row>
      <xdr:rowOff>22655</xdr:rowOff>
    </xdr:from>
    <xdr:ext cx="2571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14</xdr:col>
      <xdr:colOff>43686</xdr:colOff>
      <xdr:row>65</xdr:row>
      <xdr:rowOff>22655</xdr:rowOff>
    </xdr:from>
    <xdr:ext cx="2571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15</xdr:col>
      <xdr:colOff>43686</xdr:colOff>
      <xdr:row>65</xdr:row>
      <xdr:rowOff>22655</xdr:rowOff>
    </xdr:from>
    <xdr:ext cx="2571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16</xdr:col>
      <xdr:colOff>43686</xdr:colOff>
      <xdr:row>65</xdr:row>
      <xdr:rowOff>22655</xdr:rowOff>
    </xdr:from>
    <xdr:ext cx="2571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17</xdr:col>
      <xdr:colOff>43686</xdr:colOff>
      <xdr:row>65</xdr:row>
      <xdr:rowOff>22655</xdr:rowOff>
    </xdr:from>
    <xdr:ext cx="2571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18</xdr:col>
      <xdr:colOff>43686</xdr:colOff>
      <xdr:row>65</xdr:row>
      <xdr:rowOff>22655</xdr:rowOff>
    </xdr:from>
    <xdr:ext cx="2571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19</xdr:col>
      <xdr:colOff>43686</xdr:colOff>
      <xdr:row>65</xdr:row>
      <xdr:rowOff>22655</xdr:rowOff>
    </xdr:from>
    <xdr:ext cx="2571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20</xdr:col>
      <xdr:colOff>43686</xdr:colOff>
      <xdr:row>65</xdr:row>
      <xdr:rowOff>22655</xdr:rowOff>
    </xdr:from>
    <xdr:ext cx="2571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21</xdr:col>
      <xdr:colOff>43686</xdr:colOff>
      <xdr:row>65</xdr:row>
      <xdr:rowOff>22655</xdr:rowOff>
    </xdr:from>
    <xdr:ext cx="2571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22</xdr:col>
      <xdr:colOff>43686</xdr:colOff>
      <xdr:row>65</xdr:row>
      <xdr:rowOff>22655</xdr:rowOff>
    </xdr:from>
    <xdr:ext cx="2571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23</xdr:col>
      <xdr:colOff>43686</xdr:colOff>
      <xdr:row>65</xdr:row>
      <xdr:rowOff>22655</xdr:rowOff>
    </xdr:from>
    <xdr:ext cx="2571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24</xdr:col>
      <xdr:colOff>43686</xdr:colOff>
      <xdr:row>65</xdr:row>
      <xdr:rowOff>22655</xdr:rowOff>
    </xdr:from>
    <xdr:ext cx="2571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25</xdr:col>
      <xdr:colOff>43686</xdr:colOff>
      <xdr:row>65</xdr:row>
      <xdr:rowOff>22655</xdr:rowOff>
    </xdr:from>
    <xdr:ext cx="2571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26</xdr:col>
      <xdr:colOff>43686</xdr:colOff>
      <xdr:row>65</xdr:row>
      <xdr:rowOff>22655</xdr:rowOff>
    </xdr:from>
    <xdr:ext cx="2571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41</xdr:col>
      <xdr:colOff>42624</xdr:colOff>
      <xdr:row>65</xdr:row>
      <xdr:rowOff>22655</xdr:rowOff>
    </xdr:from>
    <xdr:ext cx="647700"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5</xdr:col>
      <xdr:colOff>54847</xdr:colOff>
      <xdr:row>66</xdr:row>
      <xdr:rowOff>22655</xdr:rowOff>
    </xdr:from>
    <xdr:ext cx="2571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6</xdr:col>
      <xdr:colOff>43686</xdr:colOff>
      <xdr:row>66</xdr:row>
      <xdr:rowOff>22655</xdr:rowOff>
    </xdr:from>
    <xdr:ext cx="257175" cy="219075"/>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7</xdr:col>
      <xdr:colOff>43686</xdr:colOff>
      <xdr:row>66</xdr:row>
      <xdr:rowOff>22655</xdr:rowOff>
    </xdr:from>
    <xdr:ext cx="257175" cy="219075"/>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8</xdr:col>
      <xdr:colOff>43686</xdr:colOff>
      <xdr:row>66</xdr:row>
      <xdr:rowOff>22655</xdr:rowOff>
    </xdr:from>
    <xdr:ext cx="2571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9</xdr:col>
      <xdr:colOff>43686</xdr:colOff>
      <xdr:row>66</xdr:row>
      <xdr:rowOff>22655</xdr:rowOff>
    </xdr:from>
    <xdr:ext cx="2571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10</xdr:col>
      <xdr:colOff>43686</xdr:colOff>
      <xdr:row>66</xdr:row>
      <xdr:rowOff>22655</xdr:rowOff>
    </xdr:from>
    <xdr:ext cx="2571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11</xdr:col>
      <xdr:colOff>43686</xdr:colOff>
      <xdr:row>66</xdr:row>
      <xdr:rowOff>22655</xdr:rowOff>
    </xdr:from>
    <xdr:ext cx="257175"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12</xdr:col>
      <xdr:colOff>43686</xdr:colOff>
      <xdr:row>66</xdr:row>
      <xdr:rowOff>22655</xdr:rowOff>
    </xdr:from>
    <xdr:ext cx="2571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13</xdr:col>
      <xdr:colOff>43686</xdr:colOff>
      <xdr:row>66</xdr:row>
      <xdr:rowOff>22655</xdr:rowOff>
    </xdr:from>
    <xdr:ext cx="2571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14</xdr:col>
      <xdr:colOff>43686</xdr:colOff>
      <xdr:row>66</xdr:row>
      <xdr:rowOff>22655</xdr:rowOff>
    </xdr:from>
    <xdr:ext cx="2571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15</xdr:col>
      <xdr:colOff>43686</xdr:colOff>
      <xdr:row>66</xdr:row>
      <xdr:rowOff>22655</xdr:rowOff>
    </xdr:from>
    <xdr:ext cx="2571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16</xdr:col>
      <xdr:colOff>43686</xdr:colOff>
      <xdr:row>66</xdr:row>
      <xdr:rowOff>22655</xdr:rowOff>
    </xdr:from>
    <xdr:ext cx="2571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17</xdr:col>
      <xdr:colOff>43686</xdr:colOff>
      <xdr:row>66</xdr:row>
      <xdr:rowOff>22655</xdr:rowOff>
    </xdr:from>
    <xdr:ext cx="2571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18</xdr:col>
      <xdr:colOff>43686</xdr:colOff>
      <xdr:row>66</xdr:row>
      <xdr:rowOff>22655</xdr:rowOff>
    </xdr:from>
    <xdr:ext cx="2571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19</xdr:col>
      <xdr:colOff>43686</xdr:colOff>
      <xdr:row>66</xdr:row>
      <xdr:rowOff>22655</xdr:rowOff>
    </xdr:from>
    <xdr:ext cx="2571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20</xdr:col>
      <xdr:colOff>43686</xdr:colOff>
      <xdr:row>66</xdr:row>
      <xdr:rowOff>22655</xdr:rowOff>
    </xdr:from>
    <xdr:ext cx="2571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21</xdr:col>
      <xdr:colOff>43686</xdr:colOff>
      <xdr:row>66</xdr:row>
      <xdr:rowOff>22655</xdr:rowOff>
    </xdr:from>
    <xdr:ext cx="2571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22</xdr:col>
      <xdr:colOff>43686</xdr:colOff>
      <xdr:row>66</xdr:row>
      <xdr:rowOff>22655</xdr:rowOff>
    </xdr:from>
    <xdr:ext cx="2571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23</xdr:col>
      <xdr:colOff>43686</xdr:colOff>
      <xdr:row>66</xdr:row>
      <xdr:rowOff>22655</xdr:rowOff>
    </xdr:from>
    <xdr:ext cx="2571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24</xdr:col>
      <xdr:colOff>43686</xdr:colOff>
      <xdr:row>66</xdr:row>
      <xdr:rowOff>22655</xdr:rowOff>
    </xdr:from>
    <xdr:ext cx="2571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25</xdr:col>
      <xdr:colOff>43686</xdr:colOff>
      <xdr:row>66</xdr:row>
      <xdr:rowOff>22655</xdr:rowOff>
    </xdr:from>
    <xdr:ext cx="2571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26</xdr:col>
      <xdr:colOff>43686</xdr:colOff>
      <xdr:row>66</xdr:row>
      <xdr:rowOff>22655</xdr:rowOff>
    </xdr:from>
    <xdr:ext cx="2571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41</xdr:col>
      <xdr:colOff>42624</xdr:colOff>
      <xdr:row>66</xdr:row>
      <xdr:rowOff>22655</xdr:rowOff>
    </xdr:from>
    <xdr:ext cx="647700"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5</xdr:col>
      <xdr:colOff>54847</xdr:colOff>
      <xdr:row>67</xdr:row>
      <xdr:rowOff>22655</xdr:rowOff>
    </xdr:from>
    <xdr:ext cx="2571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6</xdr:col>
      <xdr:colOff>43686</xdr:colOff>
      <xdr:row>67</xdr:row>
      <xdr:rowOff>22655</xdr:rowOff>
    </xdr:from>
    <xdr:ext cx="2571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7</xdr:col>
      <xdr:colOff>43686</xdr:colOff>
      <xdr:row>67</xdr:row>
      <xdr:rowOff>22655</xdr:rowOff>
    </xdr:from>
    <xdr:ext cx="2571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8</xdr:col>
      <xdr:colOff>43686</xdr:colOff>
      <xdr:row>67</xdr:row>
      <xdr:rowOff>22655</xdr:rowOff>
    </xdr:from>
    <xdr:ext cx="2571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9</xdr:col>
      <xdr:colOff>43686</xdr:colOff>
      <xdr:row>67</xdr:row>
      <xdr:rowOff>22655</xdr:rowOff>
    </xdr:from>
    <xdr:ext cx="2571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10</xdr:col>
      <xdr:colOff>43686</xdr:colOff>
      <xdr:row>67</xdr:row>
      <xdr:rowOff>22655</xdr:rowOff>
    </xdr:from>
    <xdr:ext cx="2571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11</xdr:col>
      <xdr:colOff>43686</xdr:colOff>
      <xdr:row>67</xdr:row>
      <xdr:rowOff>22655</xdr:rowOff>
    </xdr:from>
    <xdr:ext cx="2571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12</xdr:col>
      <xdr:colOff>43686</xdr:colOff>
      <xdr:row>67</xdr:row>
      <xdr:rowOff>22655</xdr:rowOff>
    </xdr:from>
    <xdr:ext cx="257175"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13</xdr:col>
      <xdr:colOff>43686</xdr:colOff>
      <xdr:row>67</xdr:row>
      <xdr:rowOff>22655</xdr:rowOff>
    </xdr:from>
    <xdr:ext cx="2571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14</xdr:col>
      <xdr:colOff>43686</xdr:colOff>
      <xdr:row>67</xdr:row>
      <xdr:rowOff>22655</xdr:rowOff>
    </xdr:from>
    <xdr:ext cx="2571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15</xdr:col>
      <xdr:colOff>43686</xdr:colOff>
      <xdr:row>67</xdr:row>
      <xdr:rowOff>22655</xdr:rowOff>
    </xdr:from>
    <xdr:ext cx="2571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16</xdr:col>
      <xdr:colOff>43686</xdr:colOff>
      <xdr:row>67</xdr:row>
      <xdr:rowOff>22655</xdr:rowOff>
    </xdr:from>
    <xdr:ext cx="2571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17</xdr:col>
      <xdr:colOff>43686</xdr:colOff>
      <xdr:row>67</xdr:row>
      <xdr:rowOff>22655</xdr:rowOff>
    </xdr:from>
    <xdr:ext cx="2571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18</xdr:col>
      <xdr:colOff>43686</xdr:colOff>
      <xdr:row>67</xdr:row>
      <xdr:rowOff>22655</xdr:rowOff>
    </xdr:from>
    <xdr:ext cx="2571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19</xdr:col>
      <xdr:colOff>43686</xdr:colOff>
      <xdr:row>67</xdr:row>
      <xdr:rowOff>22655</xdr:rowOff>
    </xdr:from>
    <xdr:ext cx="2571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20</xdr:col>
      <xdr:colOff>43686</xdr:colOff>
      <xdr:row>67</xdr:row>
      <xdr:rowOff>22655</xdr:rowOff>
    </xdr:from>
    <xdr:ext cx="2571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21</xdr:col>
      <xdr:colOff>43686</xdr:colOff>
      <xdr:row>67</xdr:row>
      <xdr:rowOff>22655</xdr:rowOff>
    </xdr:from>
    <xdr:ext cx="2571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22</xdr:col>
      <xdr:colOff>43686</xdr:colOff>
      <xdr:row>67</xdr:row>
      <xdr:rowOff>22655</xdr:rowOff>
    </xdr:from>
    <xdr:ext cx="2571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23</xdr:col>
      <xdr:colOff>43686</xdr:colOff>
      <xdr:row>67</xdr:row>
      <xdr:rowOff>22655</xdr:rowOff>
    </xdr:from>
    <xdr:ext cx="2571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24</xdr:col>
      <xdr:colOff>43686</xdr:colOff>
      <xdr:row>67</xdr:row>
      <xdr:rowOff>22655</xdr:rowOff>
    </xdr:from>
    <xdr:ext cx="2571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25</xdr:col>
      <xdr:colOff>43686</xdr:colOff>
      <xdr:row>67</xdr:row>
      <xdr:rowOff>22655</xdr:rowOff>
    </xdr:from>
    <xdr:ext cx="2571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26</xdr:col>
      <xdr:colOff>43686</xdr:colOff>
      <xdr:row>67</xdr:row>
      <xdr:rowOff>22655</xdr:rowOff>
    </xdr:from>
    <xdr:ext cx="2571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41</xdr:col>
      <xdr:colOff>42624</xdr:colOff>
      <xdr:row>67</xdr:row>
      <xdr:rowOff>22655</xdr:rowOff>
    </xdr:from>
    <xdr:ext cx="647700"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6</xdr:col>
      <xdr:colOff>43686</xdr:colOff>
      <xdr:row>254</xdr:row>
      <xdr:rowOff>18620</xdr:rowOff>
    </xdr:from>
    <xdr:ext cx="2571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7</xdr:col>
      <xdr:colOff>43686</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8</xdr:col>
      <xdr:colOff>43686</xdr:colOff>
      <xdr:row>12</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9</xdr:col>
      <xdr:colOff>43686</xdr:colOff>
      <xdr:row>12</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10</xdr:col>
      <xdr:colOff>43686</xdr:colOff>
      <xdr:row>12</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11</xdr:col>
      <xdr:colOff>43686</xdr:colOff>
      <xdr:row>12</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12</xdr:col>
      <xdr:colOff>43686</xdr:colOff>
      <xdr:row>12</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13</xdr:col>
      <xdr:colOff>43686</xdr:colOff>
      <xdr:row>12</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14</xdr:col>
      <xdr:colOff>43686</xdr:colOff>
      <xdr:row>12</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15</xdr:col>
      <xdr:colOff>43686</xdr:colOff>
      <xdr:row>12</xdr:row>
      <xdr:rowOff>22655</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16</xdr:col>
      <xdr:colOff>43686</xdr:colOff>
      <xdr:row>12</xdr:row>
      <xdr:rowOff>22655</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17</xdr:col>
      <xdr:colOff>43686</xdr:colOff>
      <xdr:row>12</xdr:row>
      <xdr:rowOff>22655</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18</xdr:col>
      <xdr:colOff>43686</xdr:colOff>
      <xdr:row>12</xdr:row>
      <xdr:rowOff>22655</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19</xdr:col>
      <xdr:colOff>43686</xdr:colOff>
      <xdr:row>12</xdr:row>
      <xdr:rowOff>22655</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20</xdr:col>
      <xdr:colOff>43686</xdr:colOff>
      <xdr:row>12</xdr:row>
      <xdr:rowOff>22655</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21</xdr:col>
      <xdr:colOff>43686</xdr:colOff>
      <xdr:row>12</xdr:row>
      <xdr:rowOff>22655</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22</xdr:col>
      <xdr:colOff>43686</xdr:colOff>
      <xdr:row>12</xdr:row>
      <xdr:rowOff>22655</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oneCellAnchor editAs="oneCell">
    <xdr:from>
      <xdr:col>23</xdr:col>
      <xdr:colOff>43686</xdr:colOff>
      <xdr:row>12</xdr:row>
      <xdr:rowOff>22655</xdr:rowOff>
    </xdr:from>
    <xdr:ext cx="257175" cy="219075"/>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oneCellAnchor>
  <xdr:oneCellAnchor editAs="oneCell">
    <xdr:from>
      <xdr:col>24</xdr:col>
      <xdr:colOff>43686</xdr:colOff>
      <xdr:row>12</xdr:row>
      <xdr:rowOff>22655</xdr:rowOff>
    </xdr:from>
    <xdr:ext cx="257175" cy="219075"/>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oneCellAnchor>
  <xdr:oneCellAnchor editAs="oneCell">
    <xdr:from>
      <xdr:col>26</xdr:col>
      <xdr:colOff>20847</xdr:colOff>
      <xdr:row>12</xdr:row>
      <xdr:rowOff>17520</xdr:rowOff>
    </xdr:from>
    <xdr:ext cx="285750" cy="228600"/>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oneCellAnchor>
  <xdr:oneCellAnchor editAs="oneCell">
    <xdr:from>
      <xdr:col>27</xdr:col>
      <xdr:colOff>20847</xdr:colOff>
      <xdr:row>12</xdr:row>
      <xdr:rowOff>17520</xdr:rowOff>
    </xdr:from>
    <xdr:ext cx="285750" cy="228600"/>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oneCellAnchor>
  <xdr:oneCellAnchor editAs="oneCell">
    <xdr:from>
      <xdr:col>28</xdr:col>
      <xdr:colOff>20847</xdr:colOff>
      <xdr:row>12</xdr:row>
      <xdr:rowOff>17520</xdr:rowOff>
    </xdr:from>
    <xdr:ext cx="285750" cy="228600"/>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oneCellAnchor>
  <xdr:oneCellAnchor editAs="oneCell">
    <xdr:from>
      <xdr:col>28</xdr:col>
      <xdr:colOff>43686</xdr:colOff>
      <xdr:row>12</xdr:row>
      <xdr:rowOff>22655</xdr:rowOff>
    </xdr:from>
    <xdr:ext cx="257175" cy="219075"/>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oneCellAnchor>
  <xdr:oneCellAnchor editAs="oneCell">
    <xdr:from>
      <xdr:col>29</xdr:col>
      <xdr:colOff>43686</xdr:colOff>
      <xdr:row>12</xdr:row>
      <xdr:rowOff>22655</xdr:rowOff>
    </xdr:from>
    <xdr:ext cx="257175" cy="219075"/>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oneCellAnchor>
  <xdr:oneCellAnchor editAs="oneCell">
    <xdr:from>
      <xdr:col>41</xdr:col>
      <xdr:colOff>42624</xdr:colOff>
      <xdr:row>12</xdr:row>
      <xdr:rowOff>22655</xdr:rowOff>
    </xdr:from>
    <xdr:ext cx="647700" cy="219075"/>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oneCellAnchor>
  <xdr:oneCellAnchor editAs="oneCell">
    <xdr:from>
      <xdr:col>7</xdr:col>
      <xdr:colOff>43686</xdr:colOff>
      <xdr:row>13</xdr:row>
      <xdr:rowOff>22655</xdr:rowOff>
    </xdr:from>
    <xdr:ext cx="257175" cy="219075"/>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oneCellAnchor>
  <xdr:oneCellAnchor editAs="oneCell">
    <xdr:from>
      <xdr:col>8</xdr:col>
      <xdr:colOff>43686</xdr:colOff>
      <xdr:row>13</xdr:row>
      <xdr:rowOff>22655</xdr:rowOff>
    </xdr:from>
    <xdr:ext cx="257175" cy="219075"/>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oneCellAnchor>
  <xdr:oneCellAnchor editAs="oneCell">
    <xdr:from>
      <xdr:col>9</xdr:col>
      <xdr:colOff>43686</xdr:colOff>
      <xdr:row>13</xdr:row>
      <xdr:rowOff>22655</xdr:rowOff>
    </xdr:from>
    <xdr:ext cx="257175" cy="219075"/>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oneCellAnchor>
  <xdr:oneCellAnchor editAs="oneCell">
    <xdr:from>
      <xdr:col>10</xdr:col>
      <xdr:colOff>43686</xdr:colOff>
      <xdr:row>13</xdr:row>
      <xdr:rowOff>22655</xdr:rowOff>
    </xdr:from>
    <xdr:ext cx="257175" cy="219075"/>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oneCellAnchor>
  <xdr:oneCellAnchor editAs="oneCell">
    <xdr:from>
      <xdr:col>11</xdr:col>
      <xdr:colOff>43686</xdr:colOff>
      <xdr:row>13</xdr:row>
      <xdr:rowOff>22655</xdr:rowOff>
    </xdr:from>
    <xdr:ext cx="257175" cy="219075"/>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oneCellAnchor>
  <xdr:oneCellAnchor editAs="oneCell">
    <xdr:from>
      <xdr:col>12</xdr:col>
      <xdr:colOff>43686</xdr:colOff>
      <xdr:row>13</xdr:row>
      <xdr:rowOff>22655</xdr:rowOff>
    </xdr:from>
    <xdr:ext cx="257175" cy="219075"/>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oneCellAnchor>
  <xdr:oneCellAnchor editAs="oneCell">
    <xdr:from>
      <xdr:col>13</xdr:col>
      <xdr:colOff>43686</xdr:colOff>
      <xdr:row>13</xdr:row>
      <xdr:rowOff>22655</xdr:rowOff>
    </xdr:from>
    <xdr:ext cx="257175" cy="219075"/>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oneCellAnchor>
  <xdr:oneCellAnchor editAs="oneCell">
    <xdr:from>
      <xdr:col>14</xdr:col>
      <xdr:colOff>43686</xdr:colOff>
      <xdr:row>13</xdr:row>
      <xdr:rowOff>22655</xdr:rowOff>
    </xdr:from>
    <xdr:ext cx="257175" cy="219075"/>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oneCellAnchor>
  <xdr:oneCellAnchor editAs="oneCell">
    <xdr:from>
      <xdr:col>15</xdr:col>
      <xdr:colOff>43686</xdr:colOff>
      <xdr:row>13</xdr:row>
      <xdr:rowOff>22655</xdr:rowOff>
    </xdr:from>
    <xdr:ext cx="257175" cy="219075"/>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oneCellAnchor>
  <xdr:oneCellAnchor editAs="oneCell">
    <xdr:from>
      <xdr:col>16</xdr:col>
      <xdr:colOff>43686</xdr:colOff>
      <xdr:row>13</xdr:row>
      <xdr:rowOff>22655</xdr:rowOff>
    </xdr:from>
    <xdr:ext cx="257175" cy="219075"/>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oneCellAnchor>
  <xdr:oneCellAnchor editAs="oneCell">
    <xdr:from>
      <xdr:col>17</xdr:col>
      <xdr:colOff>43686</xdr:colOff>
      <xdr:row>13</xdr:row>
      <xdr:rowOff>22655</xdr:rowOff>
    </xdr:from>
    <xdr:ext cx="257175" cy="219075"/>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oneCellAnchor>
  <xdr:oneCellAnchor editAs="oneCell">
    <xdr:from>
      <xdr:col>18</xdr:col>
      <xdr:colOff>43686</xdr:colOff>
      <xdr:row>13</xdr:row>
      <xdr:rowOff>22655</xdr:rowOff>
    </xdr:from>
    <xdr:ext cx="257175" cy="219075"/>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oneCellAnchor>
  <xdr:oneCellAnchor editAs="oneCell">
    <xdr:from>
      <xdr:col>19</xdr:col>
      <xdr:colOff>43686</xdr:colOff>
      <xdr:row>13</xdr:row>
      <xdr:rowOff>22655</xdr:rowOff>
    </xdr:from>
    <xdr:ext cx="257175" cy="219075"/>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oneCellAnchor>
  <xdr:oneCellAnchor editAs="oneCell">
    <xdr:from>
      <xdr:col>20</xdr:col>
      <xdr:colOff>43686</xdr:colOff>
      <xdr:row>13</xdr:row>
      <xdr:rowOff>22655</xdr:rowOff>
    </xdr:from>
    <xdr:ext cx="257175" cy="219075"/>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oneCellAnchor>
  <xdr:oneCellAnchor editAs="oneCell">
    <xdr:from>
      <xdr:col>21</xdr:col>
      <xdr:colOff>43686</xdr:colOff>
      <xdr:row>13</xdr:row>
      <xdr:rowOff>22655</xdr:rowOff>
    </xdr:from>
    <xdr:ext cx="257175" cy="219075"/>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oneCellAnchor>
  <xdr:oneCellAnchor editAs="oneCell">
    <xdr:from>
      <xdr:col>22</xdr:col>
      <xdr:colOff>43686</xdr:colOff>
      <xdr:row>13</xdr:row>
      <xdr:rowOff>22655</xdr:rowOff>
    </xdr:from>
    <xdr:ext cx="257175" cy="219075"/>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oneCellAnchor>
  <xdr:oneCellAnchor editAs="oneCell">
    <xdr:from>
      <xdr:col>23</xdr:col>
      <xdr:colOff>43686</xdr:colOff>
      <xdr:row>13</xdr:row>
      <xdr:rowOff>22655</xdr:rowOff>
    </xdr:from>
    <xdr:ext cx="257175" cy="219075"/>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oneCellAnchor>
  <xdr:oneCellAnchor editAs="oneCell">
    <xdr:from>
      <xdr:col>24</xdr:col>
      <xdr:colOff>43686</xdr:colOff>
      <xdr:row>13</xdr:row>
      <xdr:rowOff>22655</xdr:rowOff>
    </xdr:from>
    <xdr:ext cx="257175" cy="219075"/>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oneCellAnchor>
  <xdr:oneCellAnchor editAs="oneCell">
    <xdr:from>
      <xdr:col>26</xdr:col>
      <xdr:colOff>20847</xdr:colOff>
      <xdr:row>13</xdr:row>
      <xdr:rowOff>17520</xdr:rowOff>
    </xdr:from>
    <xdr:ext cx="285750" cy="228600"/>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oneCellAnchor>
  <xdr:oneCellAnchor editAs="oneCell">
    <xdr:from>
      <xdr:col>27</xdr:col>
      <xdr:colOff>7412</xdr:colOff>
      <xdr:row>13</xdr:row>
      <xdr:rowOff>26279</xdr:rowOff>
    </xdr:from>
    <xdr:ext cx="285750" cy="228600"/>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oneCellAnchor>
  <xdr:oneCellAnchor editAs="oneCell">
    <xdr:from>
      <xdr:col>27</xdr:col>
      <xdr:colOff>20847</xdr:colOff>
      <xdr:row>13</xdr:row>
      <xdr:rowOff>17520</xdr:rowOff>
    </xdr:from>
    <xdr:ext cx="285750" cy="228600"/>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oneCellAnchor>
  <xdr:oneCellAnchor editAs="oneCell">
    <xdr:from>
      <xdr:col>28</xdr:col>
      <xdr:colOff>20847</xdr:colOff>
      <xdr:row>13</xdr:row>
      <xdr:rowOff>17520</xdr:rowOff>
    </xdr:from>
    <xdr:ext cx="285750" cy="228600"/>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oneCellAnchor>
  <xdr:oneCellAnchor editAs="oneCell">
    <xdr:from>
      <xdr:col>28</xdr:col>
      <xdr:colOff>43686</xdr:colOff>
      <xdr:row>13</xdr:row>
      <xdr:rowOff>22655</xdr:rowOff>
    </xdr:from>
    <xdr:ext cx="257175" cy="219075"/>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oneCellAnchor>
  <xdr:oneCellAnchor editAs="oneCell">
    <xdr:from>
      <xdr:col>29</xdr:col>
      <xdr:colOff>43686</xdr:colOff>
      <xdr:row>13</xdr:row>
      <xdr:rowOff>22655</xdr:rowOff>
    </xdr:from>
    <xdr:ext cx="257175" cy="219075"/>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oneCellAnchor>
  <xdr:oneCellAnchor editAs="oneCell">
    <xdr:from>
      <xdr:col>41</xdr:col>
      <xdr:colOff>42624</xdr:colOff>
      <xdr:row>13</xdr:row>
      <xdr:rowOff>22655</xdr:rowOff>
    </xdr:from>
    <xdr:ext cx="647700" cy="219075"/>
    <xdr:pic>
      <xdr:nvPicPr>
        <xdr:cNvPr id="51" name="Picture 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1" cstate="print"/>
        <a:stretch>
          <a:fillRect/>
        </a:stretch>
      </xdr:blipFill>
      <xdr:spPr>
        <a:xfrm>
          <a:off x="0" y="0"/>
          <a:ext cx="0" cy="0"/>
        </a:xfrm>
        <a:prstGeom prst="rect">
          <a:avLst/>
        </a:prstGeom>
      </xdr:spPr>
    </xdr:pic>
    <xdr:clientData/>
  </xdr:oneCellAnchor>
  <xdr:oneCellAnchor editAs="oneCell">
    <xdr:from>
      <xdr:col>7</xdr:col>
      <xdr:colOff>43686</xdr:colOff>
      <xdr:row>14</xdr:row>
      <xdr:rowOff>22655</xdr:rowOff>
    </xdr:from>
    <xdr:ext cx="257175" cy="219075"/>
    <xdr:pic>
      <xdr:nvPicPr>
        <xdr:cNvPr id="52" name="Picture 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2" cstate="print"/>
        <a:stretch>
          <a:fillRect/>
        </a:stretch>
      </xdr:blipFill>
      <xdr:spPr>
        <a:xfrm>
          <a:off x="0" y="0"/>
          <a:ext cx="0" cy="0"/>
        </a:xfrm>
        <a:prstGeom prst="rect">
          <a:avLst/>
        </a:prstGeom>
      </xdr:spPr>
    </xdr:pic>
    <xdr:clientData/>
  </xdr:oneCellAnchor>
  <xdr:oneCellAnchor editAs="oneCell">
    <xdr:from>
      <xdr:col>8</xdr:col>
      <xdr:colOff>43686</xdr:colOff>
      <xdr:row>14</xdr:row>
      <xdr:rowOff>22655</xdr:rowOff>
    </xdr:from>
    <xdr:ext cx="257175" cy="219075"/>
    <xdr:pic>
      <xdr:nvPicPr>
        <xdr:cNvPr id="53" name="Picture 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3" cstate="print"/>
        <a:stretch>
          <a:fillRect/>
        </a:stretch>
      </xdr:blipFill>
      <xdr:spPr>
        <a:xfrm>
          <a:off x="0" y="0"/>
          <a:ext cx="0" cy="0"/>
        </a:xfrm>
        <a:prstGeom prst="rect">
          <a:avLst/>
        </a:prstGeom>
      </xdr:spPr>
    </xdr:pic>
    <xdr:clientData/>
  </xdr:oneCellAnchor>
  <xdr:oneCellAnchor editAs="oneCell">
    <xdr:from>
      <xdr:col>9</xdr:col>
      <xdr:colOff>43686</xdr:colOff>
      <xdr:row>14</xdr:row>
      <xdr:rowOff>22655</xdr:rowOff>
    </xdr:from>
    <xdr:ext cx="257175" cy="219075"/>
    <xdr:pic>
      <xdr:nvPicPr>
        <xdr:cNvPr id="54" name="Picture 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4" cstate="print"/>
        <a:stretch>
          <a:fillRect/>
        </a:stretch>
      </xdr:blipFill>
      <xdr:spPr>
        <a:xfrm>
          <a:off x="0" y="0"/>
          <a:ext cx="0" cy="0"/>
        </a:xfrm>
        <a:prstGeom prst="rect">
          <a:avLst/>
        </a:prstGeom>
      </xdr:spPr>
    </xdr:pic>
    <xdr:clientData/>
  </xdr:oneCellAnchor>
  <xdr:oneCellAnchor editAs="oneCell">
    <xdr:from>
      <xdr:col>10</xdr:col>
      <xdr:colOff>43686</xdr:colOff>
      <xdr:row>14</xdr:row>
      <xdr:rowOff>22655</xdr:rowOff>
    </xdr:from>
    <xdr:ext cx="257175" cy="219075"/>
    <xdr:pic>
      <xdr:nvPicPr>
        <xdr:cNvPr id="55" name="Picture 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5" cstate="print"/>
        <a:stretch>
          <a:fillRect/>
        </a:stretch>
      </xdr:blipFill>
      <xdr:spPr>
        <a:xfrm>
          <a:off x="0" y="0"/>
          <a:ext cx="0" cy="0"/>
        </a:xfrm>
        <a:prstGeom prst="rect">
          <a:avLst/>
        </a:prstGeom>
      </xdr:spPr>
    </xdr:pic>
    <xdr:clientData/>
  </xdr:oneCellAnchor>
  <xdr:oneCellAnchor editAs="oneCell">
    <xdr:from>
      <xdr:col>11</xdr:col>
      <xdr:colOff>43686</xdr:colOff>
      <xdr:row>14</xdr:row>
      <xdr:rowOff>22655</xdr:rowOff>
    </xdr:from>
    <xdr:ext cx="257175" cy="219075"/>
    <xdr:pic>
      <xdr:nvPicPr>
        <xdr:cNvPr id="56" name="Picture 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6" cstate="print"/>
        <a:stretch>
          <a:fillRect/>
        </a:stretch>
      </xdr:blipFill>
      <xdr:spPr>
        <a:xfrm>
          <a:off x="0" y="0"/>
          <a:ext cx="0" cy="0"/>
        </a:xfrm>
        <a:prstGeom prst="rect">
          <a:avLst/>
        </a:prstGeom>
      </xdr:spPr>
    </xdr:pic>
    <xdr:clientData/>
  </xdr:oneCellAnchor>
  <xdr:oneCellAnchor editAs="oneCell">
    <xdr:from>
      <xdr:col>12</xdr:col>
      <xdr:colOff>43686</xdr:colOff>
      <xdr:row>14</xdr:row>
      <xdr:rowOff>22655</xdr:rowOff>
    </xdr:from>
    <xdr:ext cx="257175" cy="219075"/>
    <xdr:pic>
      <xdr:nvPicPr>
        <xdr:cNvPr id="57" name="Picture 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7" cstate="print"/>
        <a:stretch>
          <a:fillRect/>
        </a:stretch>
      </xdr:blipFill>
      <xdr:spPr>
        <a:xfrm>
          <a:off x="0" y="0"/>
          <a:ext cx="0" cy="0"/>
        </a:xfrm>
        <a:prstGeom prst="rect">
          <a:avLst/>
        </a:prstGeom>
      </xdr:spPr>
    </xdr:pic>
    <xdr:clientData/>
  </xdr:oneCellAnchor>
  <xdr:oneCellAnchor editAs="oneCell">
    <xdr:from>
      <xdr:col>13</xdr:col>
      <xdr:colOff>43686</xdr:colOff>
      <xdr:row>14</xdr:row>
      <xdr:rowOff>22655</xdr:rowOff>
    </xdr:from>
    <xdr:ext cx="257175" cy="219075"/>
    <xdr:pic>
      <xdr:nvPicPr>
        <xdr:cNvPr id="58" name="Picture 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8" cstate="print"/>
        <a:stretch>
          <a:fillRect/>
        </a:stretch>
      </xdr:blipFill>
      <xdr:spPr>
        <a:xfrm>
          <a:off x="0" y="0"/>
          <a:ext cx="0" cy="0"/>
        </a:xfrm>
        <a:prstGeom prst="rect">
          <a:avLst/>
        </a:prstGeom>
      </xdr:spPr>
    </xdr:pic>
    <xdr:clientData/>
  </xdr:oneCellAnchor>
  <xdr:oneCellAnchor editAs="oneCell">
    <xdr:from>
      <xdr:col>14</xdr:col>
      <xdr:colOff>43686</xdr:colOff>
      <xdr:row>14</xdr:row>
      <xdr:rowOff>22655</xdr:rowOff>
    </xdr:from>
    <xdr:ext cx="257175" cy="219075"/>
    <xdr:pic>
      <xdr:nvPicPr>
        <xdr:cNvPr id="59" name="Picture 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9" cstate="print"/>
        <a:stretch>
          <a:fillRect/>
        </a:stretch>
      </xdr:blipFill>
      <xdr:spPr>
        <a:xfrm>
          <a:off x="0" y="0"/>
          <a:ext cx="0" cy="0"/>
        </a:xfrm>
        <a:prstGeom prst="rect">
          <a:avLst/>
        </a:prstGeom>
      </xdr:spPr>
    </xdr:pic>
    <xdr:clientData/>
  </xdr:oneCellAnchor>
  <xdr:oneCellAnchor editAs="oneCell">
    <xdr:from>
      <xdr:col>15</xdr:col>
      <xdr:colOff>43686</xdr:colOff>
      <xdr:row>14</xdr:row>
      <xdr:rowOff>22655</xdr:rowOff>
    </xdr:from>
    <xdr:ext cx="257175" cy="219075"/>
    <xdr:pic>
      <xdr:nvPicPr>
        <xdr:cNvPr id="60" name="Picture 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0" cstate="print"/>
        <a:stretch>
          <a:fillRect/>
        </a:stretch>
      </xdr:blipFill>
      <xdr:spPr>
        <a:xfrm>
          <a:off x="0" y="0"/>
          <a:ext cx="0" cy="0"/>
        </a:xfrm>
        <a:prstGeom prst="rect">
          <a:avLst/>
        </a:prstGeom>
      </xdr:spPr>
    </xdr:pic>
    <xdr:clientData/>
  </xdr:oneCellAnchor>
  <xdr:oneCellAnchor editAs="oneCell">
    <xdr:from>
      <xdr:col>16</xdr:col>
      <xdr:colOff>43686</xdr:colOff>
      <xdr:row>14</xdr:row>
      <xdr:rowOff>22655</xdr:rowOff>
    </xdr:from>
    <xdr:ext cx="257175" cy="219075"/>
    <xdr:pic>
      <xdr:nvPicPr>
        <xdr:cNvPr id="61" name="Picture 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1" cstate="print"/>
        <a:stretch>
          <a:fillRect/>
        </a:stretch>
      </xdr:blipFill>
      <xdr:spPr>
        <a:xfrm>
          <a:off x="0" y="0"/>
          <a:ext cx="0" cy="0"/>
        </a:xfrm>
        <a:prstGeom prst="rect">
          <a:avLst/>
        </a:prstGeom>
      </xdr:spPr>
    </xdr:pic>
    <xdr:clientData/>
  </xdr:oneCellAnchor>
  <xdr:oneCellAnchor editAs="oneCell">
    <xdr:from>
      <xdr:col>17</xdr:col>
      <xdr:colOff>43686</xdr:colOff>
      <xdr:row>14</xdr:row>
      <xdr:rowOff>22655</xdr:rowOff>
    </xdr:from>
    <xdr:ext cx="257175" cy="219075"/>
    <xdr:pic>
      <xdr:nvPicPr>
        <xdr:cNvPr id="62" name="Picture 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2" cstate="print"/>
        <a:stretch>
          <a:fillRect/>
        </a:stretch>
      </xdr:blipFill>
      <xdr:spPr>
        <a:xfrm>
          <a:off x="0" y="0"/>
          <a:ext cx="0" cy="0"/>
        </a:xfrm>
        <a:prstGeom prst="rect">
          <a:avLst/>
        </a:prstGeom>
      </xdr:spPr>
    </xdr:pic>
    <xdr:clientData/>
  </xdr:oneCellAnchor>
  <xdr:oneCellAnchor editAs="oneCell">
    <xdr:from>
      <xdr:col>18</xdr:col>
      <xdr:colOff>43686</xdr:colOff>
      <xdr:row>14</xdr:row>
      <xdr:rowOff>22655</xdr:rowOff>
    </xdr:from>
    <xdr:ext cx="257175" cy="219075"/>
    <xdr:pic>
      <xdr:nvPicPr>
        <xdr:cNvPr id="63" name="Picture 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3" cstate="print"/>
        <a:stretch>
          <a:fillRect/>
        </a:stretch>
      </xdr:blipFill>
      <xdr:spPr>
        <a:xfrm>
          <a:off x="0" y="0"/>
          <a:ext cx="0" cy="0"/>
        </a:xfrm>
        <a:prstGeom prst="rect">
          <a:avLst/>
        </a:prstGeom>
      </xdr:spPr>
    </xdr:pic>
    <xdr:clientData/>
  </xdr:oneCellAnchor>
  <xdr:oneCellAnchor editAs="oneCell">
    <xdr:from>
      <xdr:col>19</xdr:col>
      <xdr:colOff>43686</xdr:colOff>
      <xdr:row>14</xdr:row>
      <xdr:rowOff>22655</xdr:rowOff>
    </xdr:from>
    <xdr:ext cx="257175" cy="219075"/>
    <xdr:pic>
      <xdr:nvPicPr>
        <xdr:cNvPr id="64" name="Picture 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4" cstate="print"/>
        <a:stretch>
          <a:fillRect/>
        </a:stretch>
      </xdr:blipFill>
      <xdr:spPr>
        <a:xfrm>
          <a:off x="0" y="0"/>
          <a:ext cx="0" cy="0"/>
        </a:xfrm>
        <a:prstGeom prst="rect">
          <a:avLst/>
        </a:prstGeom>
      </xdr:spPr>
    </xdr:pic>
    <xdr:clientData/>
  </xdr:oneCellAnchor>
  <xdr:oneCellAnchor editAs="oneCell">
    <xdr:from>
      <xdr:col>20</xdr:col>
      <xdr:colOff>43686</xdr:colOff>
      <xdr:row>14</xdr:row>
      <xdr:rowOff>22655</xdr:rowOff>
    </xdr:from>
    <xdr:ext cx="257175" cy="219075"/>
    <xdr:pic>
      <xdr:nvPicPr>
        <xdr:cNvPr id="65" name="Picture 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5" cstate="print"/>
        <a:stretch>
          <a:fillRect/>
        </a:stretch>
      </xdr:blipFill>
      <xdr:spPr>
        <a:xfrm>
          <a:off x="0" y="0"/>
          <a:ext cx="0" cy="0"/>
        </a:xfrm>
        <a:prstGeom prst="rect">
          <a:avLst/>
        </a:prstGeom>
      </xdr:spPr>
    </xdr:pic>
    <xdr:clientData/>
  </xdr:oneCellAnchor>
  <xdr:oneCellAnchor editAs="oneCell">
    <xdr:from>
      <xdr:col>21</xdr:col>
      <xdr:colOff>43686</xdr:colOff>
      <xdr:row>14</xdr:row>
      <xdr:rowOff>22655</xdr:rowOff>
    </xdr:from>
    <xdr:ext cx="257175" cy="219075"/>
    <xdr:pic>
      <xdr:nvPicPr>
        <xdr:cNvPr id="66" name="Picture 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6" cstate="print"/>
        <a:stretch>
          <a:fillRect/>
        </a:stretch>
      </xdr:blipFill>
      <xdr:spPr>
        <a:xfrm>
          <a:off x="0" y="0"/>
          <a:ext cx="0" cy="0"/>
        </a:xfrm>
        <a:prstGeom prst="rect">
          <a:avLst/>
        </a:prstGeom>
      </xdr:spPr>
    </xdr:pic>
    <xdr:clientData/>
  </xdr:oneCellAnchor>
  <xdr:oneCellAnchor editAs="oneCell">
    <xdr:from>
      <xdr:col>22</xdr:col>
      <xdr:colOff>43686</xdr:colOff>
      <xdr:row>14</xdr:row>
      <xdr:rowOff>22655</xdr:rowOff>
    </xdr:from>
    <xdr:ext cx="257175" cy="219075"/>
    <xdr:pic>
      <xdr:nvPicPr>
        <xdr:cNvPr id="67" name="Picture 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7" cstate="print"/>
        <a:stretch>
          <a:fillRect/>
        </a:stretch>
      </xdr:blipFill>
      <xdr:spPr>
        <a:xfrm>
          <a:off x="0" y="0"/>
          <a:ext cx="0" cy="0"/>
        </a:xfrm>
        <a:prstGeom prst="rect">
          <a:avLst/>
        </a:prstGeom>
      </xdr:spPr>
    </xdr:pic>
    <xdr:clientData/>
  </xdr:oneCellAnchor>
  <xdr:oneCellAnchor editAs="oneCell">
    <xdr:from>
      <xdr:col>23</xdr:col>
      <xdr:colOff>43686</xdr:colOff>
      <xdr:row>14</xdr:row>
      <xdr:rowOff>22655</xdr:rowOff>
    </xdr:from>
    <xdr:ext cx="257175" cy="219075"/>
    <xdr:pic>
      <xdr:nvPicPr>
        <xdr:cNvPr id="68" name="Picture 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8" cstate="print"/>
        <a:stretch>
          <a:fillRect/>
        </a:stretch>
      </xdr:blipFill>
      <xdr:spPr>
        <a:xfrm>
          <a:off x="0" y="0"/>
          <a:ext cx="0" cy="0"/>
        </a:xfrm>
        <a:prstGeom prst="rect">
          <a:avLst/>
        </a:prstGeom>
      </xdr:spPr>
    </xdr:pic>
    <xdr:clientData/>
  </xdr:oneCellAnchor>
  <xdr:oneCellAnchor editAs="oneCell">
    <xdr:from>
      <xdr:col>24</xdr:col>
      <xdr:colOff>43686</xdr:colOff>
      <xdr:row>14</xdr:row>
      <xdr:rowOff>22655</xdr:rowOff>
    </xdr:from>
    <xdr:ext cx="257175" cy="219075"/>
    <xdr:pic>
      <xdr:nvPicPr>
        <xdr:cNvPr id="69" name="Picture 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9" cstate="print"/>
        <a:stretch>
          <a:fillRect/>
        </a:stretch>
      </xdr:blipFill>
      <xdr:spPr>
        <a:xfrm>
          <a:off x="0" y="0"/>
          <a:ext cx="0" cy="0"/>
        </a:xfrm>
        <a:prstGeom prst="rect">
          <a:avLst/>
        </a:prstGeom>
      </xdr:spPr>
    </xdr:pic>
    <xdr:clientData/>
  </xdr:oneCellAnchor>
  <xdr:oneCellAnchor editAs="oneCell">
    <xdr:from>
      <xdr:col>25</xdr:col>
      <xdr:colOff>43686</xdr:colOff>
      <xdr:row>14</xdr:row>
      <xdr:rowOff>22655</xdr:rowOff>
    </xdr:from>
    <xdr:ext cx="257175" cy="219075"/>
    <xdr:pic>
      <xdr:nvPicPr>
        <xdr:cNvPr id="70" name="Picture 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0" cstate="print"/>
        <a:stretch>
          <a:fillRect/>
        </a:stretch>
      </xdr:blipFill>
      <xdr:spPr>
        <a:xfrm>
          <a:off x="0" y="0"/>
          <a:ext cx="0" cy="0"/>
        </a:xfrm>
        <a:prstGeom prst="rect">
          <a:avLst/>
        </a:prstGeom>
      </xdr:spPr>
    </xdr:pic>
    <xdr:clientData/>
  </xdr:oneCellAnchor>
  <xdr:oneCellAnchor editAs="oneCell">
    <xdr:from>
      <xdr:col>26</xdr:col>
      <xdr:colOff>43686</xdr:colOff>
      <xdr:row>14</xdr:row>
      <xdr:rowOff>22655</xdr:rowOff>
    </xdr:from>
    <xdr:ext cx="257175" cy="219075"/>
    <xdr:pic>
      <xdr:nvPicPr>
        <xdr:cNvPr id="71" name="Picture 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1" cstate="print"/>
        <a:stretch>
          <a:fillRect/>
        </a:stretch>
      </xdr:blipFill>
      <xdr:spPr>
        <a:xfrm>
          <a:off x="0" y="0"/>
          <a:ext cx="0" cy="0"/>
        </a:xfrm>
        <a:prstGeom prst="rect">
          <a:avLst/>
        </a:prstGeom>
      </xdr:spPr>
    </xdr:pic>
    <xdr:clientData/>
  </xdr:oneCellAnchor>
  <xdr:oneCellAnchor editAs="oneCell">
    <xdr:from>
      <xdr:col>27</xdr:col>
      <xdr:colOff>43686</xdr:colOff>
      <xdr:row>14</xdr:row>
      <xdr:rowOff>22655</xdr:rowOff>
    </xdr:from>
    <xdr:ext cx="257175" cy="219075"/>
    <xdr:pic>
      <xdr:nvPicPr>
        <xdr:cNvPr id="72" name="Picture 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2" cstate="print"/>
        <a:stretch>
          <a:fillRect/>
        </a:stretch>
      </xdr:blipFill>
      <xdr:spPr>
        <a:xfrm>
          <a:off x="0" y="0"/>
          <a:ext cx="0" cy="0"/>
        </a:xfrm>
        <a:prstGeom prst="rect">
          <a:avLst/>
        </a:prstGeom>
      </xdr:spPr>
    </xdr:pic>
    <xdr:clientData/>
  </xdr:oneCellAnchor>
  <xdr:oneCellAnchor editAs="oneCell">
    <xdr:from>
      <xdr:col>28</xdr:col>
      <xdr:colOff>43686</xdr:colOff>
      <xdr:row>14</xdr:row>
      <xdr:rowOff>22655</xdr:rowOff>
    </xdr:from>
    <xdr:ext cx="257175" cy="219075"/>
    <xdr:pic>
      <xdr:nvPicPr>
        <xdr:cNvPr id="73" name="Picture 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3" cstate="print"/>
        <a:stretch>
          <a:fillRect/>
        </a:stretch>
      </xdr:blipFill>
      <xdr:spPr>
        <a:xfrm>
          <a:off x="0" y="0"/>
          <a:ext cx="0" cy="0"/>
        </a:xfrm>
        <a:prstGeom prst="rect">
          <a:avLst/>
        </a:prstGeom>
      </xdr:spPr>
    </xdr:pic>
    <xdr:clientData/>
  </xdr:oneCellAnchor>
  <xdr:oneCellAnchor editAs="oneCell">
    <xdr:from>
      <xdr:col>29</xdr:col>
      <xdr:colOff>43686</xdr:colOff>
      <xdr:row>14</xdr:row>
      <xdr:rowOff>22655</xdr:rowOff>
    </xdr:from>
    <xdr:ext cx="257175" cy="219075"/>
    <xdr:pic>
      <xdr:nvPicPr>
        <xdr:cNvPr id="74" name="Picture 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4" cstate="print"/>
        <a:stretch>
          <a:fillRect/>
        </a:stretch>
      </xdr:blipFill>
      <xdr:spPr>
        <a:xfrm>
          <a:off x="0" y="0"/>
          <a:ext cx="0" cy="0"/>
        </a:xfrm>
        <a:prstGeom prst="rect">
          <a:avLst/>
        </a:prstGeom>
      </xdr:spPr>
    </xdr:pic>
    <xdr:clientData/>
  </xdr:oneCellAnchor>
  <xdr:oneCellAnchor editAs="oneCell">
    <xdr:from>
      <xdr:col>41</xdr:col>
      <xdr:colOff>42624</xdr:colOff>
      <xdr:row>14</xdr:row>
      <xdr:rowOff>22655</xdr:rowOff>
    </xdr:from>
    <xdr:ext cx="647700" cy="219075"/>
    <xdr:pic>
      <xdr:nvPicPr>
        <xdr:cNvPr id="75" name="Picture 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5" cstate="print"/>
        <a:stretch>
          <a:fillRect/>
        </a:stretch>
      </xdr:blipFill>
      <xdr:spPr>
        <a:xfrm>
          <a:off x="0" y="0"/>
          <a:ext cx="0" cy="0"/>
        </a:xfrm>
        <a:prstGeom prst="rect">
          <a:avLst/>
        </a:prstGeom>
      </xdr:spPr>
    </xdr:pic>
    <xdr:clientData/>
  </xdr:oneCellAnchor>
  <xdr:oneCellAnchor editAs="oneCell">
    <xdr:from>
      <xdr:col>7</xdr:col>
      <xdr:colOff>43686</xdr:colOff>
      <xdr:row>63</xdr:row>
      <xdr:rowOff>22655</xdr:rowOff>
    </xdr:from>
    <xdr:ext cx="257175" cy="219075"/>
    <xdr:pic>
      <xdr:nvPicPr>
        <xdr:cNvPr id="76" name="Picture 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6" cstate="print"/>
        <a:stretch>
          <a:fillRect/>
        </a:stretch>
      </xdr:blipFill>
      <xdr:spPr>
        <a:xfrm>
          <a:off x="0" y="0"/>
          <a:ext cx="0" cy="0"/>
        </a:xfrm>
        <a:prstGeom prst="rect">
          <a:avLst/>
        </a:prstGeom>
      </xdr:spPr>
    </xdr:pic>
    <xdr:clientData/>
  </xdr:oneCellAnchor>
  <xdr:oneCellAnchor editAs="oneCell">
    <xdr:from>
      <xdr:col>8</xdr:col>
      <xdr:colOff>43686</xdr:colOff>
      <xdr:row>63</xdr:row>
      <xdr:rowOff>22655</xdr:rowOff>
    </xdr:from>
    <xdr:ext cx="257175" cy="219075"/>
    <xdr:pic>
      <xdr:nvPicPr>
        <xdr:cNvPr id="77" name="Picture 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7" cstate="print"/>
        <a:stretch>
          <a:fillRect/>
        </a:stretch>
      </xdr:blipFill>
      <xdr:spPr>
        <a:xfrm>
          <a:off x="0" y="0"/>
          <a:ext cx="0" cy="0"/>
        </a:xfrm>
        <a:prstGeom prst="rect">
          <a:avLst/>
        </a:prstGeom>
      </xdr:spPr>
    </xdr:pic>
    <xdr:clientData/>
  </xdr:oneCellAnchor>
  <xdr:oneCellAnchor editAs="oneCell">
    <xdr:from>
      <xdr:col>9</xdr:col>
      <xdr:colOff>43686</xdr:colOff>
      <xdr:row>63</xdr:row>
      <xdr:rowOff>22655</xdr:rowOff>
    </xdr:from>
    <xdr:ext cx="257175" cy="219075"/>
    <xdr:pic>
      <xdr:nvPicPr>
        <xdr:cNvPr id="78" name="Picture 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8" cstate="print"/>
        <a:stretch>
          <a:fillRect/>
        </a:stretch>
      </xdr:blipFill>
      <xdr:spPr>
        <a:xfrm>
          <a:off x="0" y="0"/>
          <a:ext cx="0" cy="0"/>
        </a:xfrm>
        <a:prstGeom prst="rect">
          <a:avLst/>
        </a:prstGeom>
      </xdr:spPr>
    </xdr:pic>
    <xdr:clientData/>
  </xdr:oneCellAnchor>
  <xdr:oneCellAnchor editAs="oneCell">
    <xdr:from>
      <xdr:col>10</xdr:col>
      <xdr:colOff>43686</xdr:colOff>
      <xdr:row>63</xdr:row>
      <xdr:rowOff>22655</xdr:rowOff>
    </xdr:from>
    <xdr:ext cx="257175" cy="219075"/>
    <xdr:pic>
      <xdr:nvPicPr>
        <xdr:cNvPr id="79" name="Picture 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9" cstate="print"/>
        <a:stretch>
          <a:fillRect/>
        </a:stretch>
      </xdr:blipFill>
      <xdr:spPr>
        <a:xfrm>
          <a:off x="0" y="0"/>
          <a:ext cx="0" cy="0"/>
        </a:xfrm>
        <a:prstGeom prst="rect">
          <a:avLst/>
        </a:prstGeom>
      </xdr:spPr>
    </xdr:pic>
    <xdr:clientData/>
  </xdr:oneCellAnchor>
  <xdr:oneCellAnchor editAs="oneCell">
    <xdr:from>
      <xdr:col>11</xdr:col>
      <xdr:colOff>43686</xdr:colOff>
      <xdr:row>63</xdr:row>
      <xdr:rowOff>22655</xdr:rowOff>
    </xdr:from>
    <xdr:ext cx="257175" cy="219075"/>
    <xdr:pic>
      <xdr:nvPicPr>
        <xdr:cNvPr id="80" name="Picture 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0" cstate="print"/>
        <a:stretch>
          <a:fillRect/>
        </a:stretch>
      </xdr:blipFill>
      <xdr:spPr>
        <a:xfrm>
          <a:off x="0" y="0"/>
          <a:ext cx="0" cy="0"/>
        </a:xfrm>
        <a:prstGeom prst="rect">
          <a:avLst/>
        </a:prstGeom>
      </xdr:spPr>
    </xdr:pic>
    <xdr:clientData/>
  </xdr:oneCellAnchor>
  <xdr:oneCellAnchor editAs="oneCell">
    <xdr:from>
      <xdr:col>12</xdr:col>
      <xdr:colOff>43686</xdr:colOff>
      <xdr:row>63</xdr:row>
      <xdr:rowOff>22655</xdr:rowOff>
    </xdr:from>
    <xdr:ext cx="257175" cy="219075"/>
    <xdr:pic>
      <xdr:nvPicPr>
        <xdr:cNvPr id="81" name="Picture 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1" cstate="print"/>
        <a:stretch>
          <a:fillRect/>
        </a:stretch>
      </xdr:blipFill>
      <xdr:spPr>
        <a:xfrm>
          <a:off x="0" y="0"/>
          <a:ext cx="0" cy="0"/>
        </a:xfrm>
        <a:prstGeom prst="rect">
          <a:avLst/>
        </a:prstGeom>
      </xdr:spPr>
    </xdr:pic>
    <xdr:clientData/>
  </xdr:oneCellAnchor>
  <xdr:oneCellAnchor editAs="oneCell">
    <xdr:from>
      <xdr:col>13</xdr:col>
      <xdr:colOff>43686</xdr:colOff>
      <xdr:row>63</xdr:row>
      <xdr:rowOff>22655</xdr:rowOff>
    </xdr:from>
    <xdr:ext cx="257175" cy="219075"/>
    <xdr:pic>
      <xdr:nvPicPr>
        <xdr:cNvPr id="82" name="Picture 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2" cstate="print"/>
        <a:stretch>
          <a:fillRect/>
        </a:stretch>
      </xdr:blipFill>
      <xdr:spPr>
        <a:xfrm>
          <a:off x="0" y="0"/>
          <a:ext cx="0" cy="0"/>
        </a:xfrm>
        <a:prstGeom prst="rect">
          <a:avLst/>
        </a:prstGeom>
      </xdr:spPr>
    </xdr:pic>
    <xdr:clientData/>
  </xdr:oneCellAnchor>
  <xdr:oneCellAnchor editAs="oneCell">
    <xdr:from>
      <xdr:col>14</xdr:col>
      <xdr:colOff>43686</xdr:colOff>
      <xdr:row>63</xdr:row>
      <xdr:rowOff>22655</xdr:rowOff>
    </xdr:from>
    <xdr:ext cx="257175" cy="219075"/>
    <xdr:pic>
      <xdr:nvPicPr>
        <xdr:cNvPr id="83" name="Picture 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3" cstate="print"/>
        <a:stretch>
          <a:fillRect/>
        </a:stretch>
      </xdr:blipFill>
      <xdr:spPr>
        <a:xfrm>
          <a:off x="0" y="0"/>
          <a:ext cx="0" cy="0"/>
        </a:xfrm>
        <a:prstGeom prst="rect">
          <a:avLst/>
        </a:prstGeom>
      </xdr:spPr>
    </xdr:pic>
    <xdr:clientData/>
  </xdr:oneCellAnchor>
  <xdr:oneCellAnchor editAs="oneCell">
    <xdr:from>
      <xdr:col>15</xdr:col>
      <xdr:colOff>43686</xdr:colOff>
      <xdr:row>63</xdr:row>
      <xdr:rowOff>22655</xdr:rowOff>
    </xdr:from>
    <xdr:ext cx="257175" cy="219075"/>
    <xdr:pic>
      <xdr:nvPicPr>
        <xdr:cNvPr id="84" name="Picture 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4" cstate="print"/>
        <a:stretch>
          <a:fillRect/>
        </a:stretch>
      </xdr:blipFill>
      <xdr:spPr>
        <a:xfrm>
          <a:off x="0" y="0"/>
          <a:ext cx="0" cy="0"/>
        </a:xfrm>
        <a:prstGeom prst="rect">
          <a:avLst/>
        </a:prstGeom>
      </xdr:spPr>
    </xdr:pic>
    <xdr:clientData/>
  </xdr:oneCellAnchor>
  <xdr:oneCellAnchor editAs="oneCell">
    <xdr:from>
      <xdr:col>16</xdr:col>
      <xdr:colOff>43686</xdr:colOff>
      <xdr:row>63</xdr:row>
      <xdr:rowOff>22655</xdr:rowOff>
    </xdr:from>
    <xdr:ext cx="257175" cy="219075"/>
    <xdr:pic>
      <xdr:nvPicPr>
        <xdr:cNvPr id="85" name="Picture 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5" cstate="print"/>
        <a:stretch>
          <a:fillRect/>
        </a:stretch>
      </xdr:blipFill>
      <xdr:spPr>
        <a:xfrm>
          <a:off x="0" y="0"/>
          <a:ext cx="0" cy="0"/>
        </a:xfrm>
        <a:prstGeom prst="rect">
          <a:avLst/>
        </a:prstGeom>
      </xdr:spPr>
    </xdr:pic>
    <xdr:clientData/>
  </xdr:oneCellAnchor>
  <xdr:oneCellAnchor editAs="oneCell">
    <xdr:from>
      <xdr:col>17</xdr:col>
      <xdr:colOff>43686</xdr:colOff>
      <xdr:row>63</xdr:row>
      <xdr:rowOff>22655</xdr:rowOff>
    </xdr:from>
    <xdr:ext cx="257175" cy="219075"/>
    <xdr:pic>
      <xdr:nvPicPr>
        <xdr:cNvPr id="86" name="Picture 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6" cstate="print"/>
        <a:stretch>
          <a:fillRect/>
        </a:stretch>
      </xdr:blipFill>
      <xdr:spPr>
        <a:xfrm>
          <a:off x="0" y="0"/>
          <a:ext cx="0" cy="0"/>
        </a:xfrm>
        <a:prstGeom prst="rect">
          <a:avLst/>
        </a:prstGeom>
      </xdr:spPr>
    </xdr:pic>
    <xdr:clientData/>
  </xdr:oneCellAnchor>
  <xdr:oneCellAnchor editAs="oneCell">
    <xdr:from>
      <xdr:col>18</xdr:col>
      <xdr:colOff>43686</xdr:colOff>
      <xdr:row>63</xdr:row>
      <xdr:rowOff>22655</xdr:rowOff>
    </xdr:from>
    <xdr:ext cx="257175" cy="219075"/>
    <xdr:pic>
      <xdr:nvPicPr>
        <xdr:cNvPr id="87" name="Picture 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7" cstate="print"/>
        <a:stretch>
          <a:fillRect/>
        </a:stretch>
      </xdr:blipFill>
      <xdr:spPr>
        <a:xfrm>
          <a:off x="0" y="0"/>
          <a:ext cx="0" cy="0"/>
        </a:xfrm>
        <a:prstGeom prst="rect">
          <a:avLst/>
        </a:prstGeom>
      </xdr:spPr>
    </xdr:pic>
    <xdr:clientData/>
  </xdr:oneCellAnchor>
  <xdr:oneCellAnchor editAs="oneCell">
    <xdr:from>
      <xdr:col>19</xdr:col>
      <xdr:colOff>43686</xdr:colOff>
      <xdr:row>63</xdr:row>
      <xdr:rowOff>22655</xdr:rowOff>
    </xdr:from>
    <xdr:ext cx="257175" cy="219075"/>
    <xdr:pic>
      <xdr:nvPicPr>
        <xdr:cNvPr id="88" name="Picture 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8" cstate="print"/>
        <a:stretch>
          <a:fillRect/>
        </a:stretch>
      </xdr:blipFill>
      <xdr:spPr>
        <a:xfrm>
          <a:off x="0" y="0"/>
          <a:ext cx="0" cy="0"/>
        </a:xfrm>
        <a:prstGeom prst="rect">
          <a:avLst/>
        </a:prstGeom>
      </xdr:spPr>
    </xdr:pic>
    <xdr:clientData/>
  </xdr:oneCellAnchor>
  <xdr:oneCellAnchor editAs="oneCell">
    <xdr:from>
      <xdr:col>20</xdr:col>
      <xdr:colOff>43686</xdr:colOff>
      <xdr:row>63</xdr:row>
      <xdr:rowOff>22655</xdr:rowOff>
    </xdr:from>
    <xdr:ext cx="257175" cy="219075"/>
    <xdr:pic>
      <xdr:nvPicPr>
        <xdr:cNvPr id="89" name="Picture 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9" cstate="print"/>
        <a:stretch>
          <a:fillRect/>
        </a:stretch>
      </xdr:blipFill>
      <xdr:spPr>
        <a:xfrm>
          <a:off x="0" y="0"/>
          <a:ext cx="0" cy="0"/>
        </a:xfrm>
        <a:prstGeom prst="rect">
          <a:avLst/>
        </a:prstGeom>
      </xdr:spPr>
    </xdr:pic>
    <xdr:clientData/>
  </xdr:oneCellAnchor>
  <xdr:oneCellAnchor editAs="oneCell">
    <xdr:from>
      <xdr:col>21</xdr:col>
      <xdr:colOff>43686</xdr:colOff>
      <xdr:row>63</xdr:row>
      <xdr:rowOff>22655</xdr:rowOff>
    </xdr:from>
    <xdr:ext cx="257175" cy="219075"/>
    <xdr:pic>
      <xdr:nvPicPr>
        <xdr:cNvPr id="90" name="Picture 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0" cstate="print"/>
        <a:stretch>
          <a:fillRect/>
        </a:stretch>
      </xdr:blipFill>
      <xdr:spPr>
        <a:xfrm>
          <a:off x="0" y="0"/>
          <a:ext cx="0" cy="0"/>
        </a:xfrm>
        <a:prstGeom prst="rect">
          <a:avLst/>
        </a:prstGeom>
      </xdr:spPr>
    </xdr:pic>
    <xdr:clientData/>
  </xdr:oneCellAnchor>
  <xdr:oneCellAnchor editAs="oneCell">
    <xdr:from>
      <xdr:col>22</xdr:col>
      <xdr:colOff>43686</xdr:colOff>
      <xdr:row>63</xdr:row>
      <xdr:rowOff>22655</xdr:rowOff>
    </xdr:from>
    <xdr:ext cx="257175" cy="219075"/>
    <xdr:pic>
      <xdr:nvPicPr>
        <xdr:cNvPr id="91" name="Picture 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1" cstate="print"/>
        <a:stretch>
          <a:fillRect/>
        </a:stretch>
      </xdr:blipFill>
      <xdr:spPr>
        <a:xfrm>
          <a:off x="0" y="0"/>
          <a:ext cx="0" cy="0"/>
        </a:xfrm>
        <a:prstGeom prst="rect">
          <a:avLst/>
        </a:prstGeom>
      </xdr:spPr>
    </xdr:pic>
    <xdr:clientData/>
  </xdr:oneCellAnchor>
  <xdr:oneCellAnchor editAs="oneCell">
    <xdr:from>
      <xdr:col>23</xdr:col>
      <xdr:colOff>43686</xdr:colOff>
      <xdr:row>63</xdr:row>
      <xdr:rowOff>22655</xdr:rowOff>
    </xdr:from>
    <xdr:ext cx="257175" cy="219075"/>
    <xdr:pic>
      <xdr:nvPicPr>
        <xdr:cNvPr id="92" name="Picture 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2" cstate="print"/>
        <a:stretch>
          <a:fillRect/>
        </a:stretch>
      </xdr:blipFill>
      <xdr:spPr>
        <a:xfrm>
          <a:off x="0" y="0"/>
          <a:ext cx="0" cy="0"/>
        </a:xfrm>
        <a:prstGeom prst="rect">
          <a:avLst/>
        </a:prstGeom>
      </xdr:spPr>
    </xdr:pic>
    <xdr:clientData/>
  </xdr:oneCellAnchor>
  <xdr:oneCellAnchor editAs="oneCell">
    <xdr:from>
      <xdr:col>24</xdr:col>
      <xdr:colOff>43686</xdr:colOff>
      <xdr:row>63</xdr:row>
      <xdr:rowOff>22655</xdr:rowOff>
    </xdr:from>
    <xdr:ext cx="257175" cy="219075"/>
    <xdr:pic>
      <xdr:nvPicPr>
        <xdr:cNvPr id="93" name="Picture 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3" cstate="print"/>
        <a:stretch>
          <a:fillRect/>
        </a:stretch>
      </xdr:blipFill>
      <xdr:spPr>
        <a:xfrm>
          <a:off x="0" y="0"/>
          <a:ext cx="0" cy="0"/>
        </a:xfrm>
        <a:prstGeom prst="rect">
          <a:avLst/>
        </a:prstGeom>
      </xdr:spPr>
    </xdr:pic>
    <xdr:clientData/>
  </xdr:oneCellAnchor>
  <xdr:oneCellAnchor editAs="oneCell">
    <xdr:from>
      <xdr:col>26</xdr:col>
      <xdr:colOff>20847</xdr:colOff>
      <xdr:row>63</xdr:row>
      <xdr:rowOff>17519</xdr:rowOff>
    </xdr:from>
    <xdr:ext cx="285750" cy="228600"/>
    <xdr:pic>
      <xdr:nvPicPr>
        <xdr:cNvPr id="94" name="Picture 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4" cstate="print"/>
        <a:stretch>
          <a:fillRect/>
        </a:stretch>
      </xdr:blipFill>
      <xdr:spPr>
        <a:xfrm>
          <a:off x="0" y="0"/>
          <a:ext cx="0" cy="0"/>
        </a:xfrm>
        <a:prstGeom prst="rect">
          <a:avLst/>
        </a:prstGeom>
      </xdr:spPr>
    </xdr:pic>
    <xdr:clientData/>
  </xdr:oneCellAnchor>
  <xdr:oneCellAnchor editAs="oneCell">
    <xdr:from>
      <xdr:col>27</xdr:col>
      <xdr:colOff>20847</xdr:colOff>
      <xdr:row>63</xdr:row>
      <xdr:rowOff>17519</xdr:rowOff>
    </xdr:from>
    <xdr:ext cx="285750" cy="228600"/>
    <xdr:pic>
      <xdr:nvPicPr>
        <xdr:cNvPr id="95" name="Picture 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5" cstate="print"/>
        <a:stretch>
          <a:fillRect/>
        </a:stretch>
      </xdr:blipFill>
      <xdr:spPr>
        <a:xfrm>
          <a:off x="0" y="0"/>
          <a:ext cx="0" cy="0"/>
        </a:xfrm>
        <a:prstGeom prst="rect">
          <a:avLst/>
        </a:prstGeom>
      </xdr:spPr>
    </xdr:pic>
    <xdr:clientData/>
  </xdr:oneCellAnchor>
  <xdr:oneCellAnchor editAs="oneCell">
    <xdr:from>
      <xdr:col>27</xdr:col>
      <xdr:colOff>43686</xdr:colOff>
      <xdr:row>63</xdr:row>
      <xdr:rowOff>22655</xdr:rowOff>
    </xdr:from>
    <xdr:ext cx="257175" cy="219075"/>
    <xdr:pic>
      <xdr:nvPicPr>
        <xdr:cNvPr id="96" name="Picture 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6" cstate="print"/>
        <a:stretch>
          <a:fillRect/>
        </a:stretch>
      </xdr:blipFill>
      <xdr:spPr>
        <a:xfrm>
          <a:off x="0" y="0"/>
          <a:ext cx="0" cy="0"/>
        </a:xfrm>
        <a:prstGeom prst="rect">
          <a:avLst/>
        </a:prstGeom>
      </xdr:spPr>
    </xdr:pic>
    <xdr:clientData/>
  </xdr:oneCellAnchor>
  <xdr:oneCellAnchor editAs="oneCell">
    <xdr:from>
      <xdr:col>28</xdr:col>
      <xdr:colOff>43686</xdr:colOff>
      <xdr:row>63</xdr:row>
      <xdr:rowOff>22655</xdr:rowOff>
    </xdr:from>
    <xdr:ext cx="257175" cy="219075"/>
    <xdr:pic>
      <xdr:nvPicPr>
        <xdr:cNvPr id="97" name="Picture 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7" cstate="print"/>
        <a:stretch>
          <a:fillRect/>
        </a:stretch>
      </xdr:blipFill>
      <xdr:spPr>
        <a:xfrm>
          <a:off x="0" y="0"/>
          <a:ext cx="0" cy="0"/>
        </a:xfrm>
        <a:prstGeom prst="rect">
          <a:avLst/>
        </a:prstGeom>
      </xdr:spPr>
    </xdr:pic>
    <xdr:clientData/>
  </xdr:oneCellAnchor>
  <xdr:oneCellAnchor editAs="oneCell">
    <xdr:from>
      <xdr:col>29</xdr:col>
      <xdr:colOff>43686</xdr:colOff>
      <xdr:row>63</xdr:row>
      <xdr:rowOff>22655</xdr:rowOff>
    </xdr:from>
    <xdr:ext cx="257175" cy="219075"/>
    <xdr:pic>
      <xdr:nvPicPr>
        <xdr:cNvPr id="98" name="Picture 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8" cstate="print"/>
        <a:stretch>
          <a:fillRect/>
        </a:stretch>
      </xdr:blipFill>
      <xdr:spPr>
        <a:xfrm>
          <a:off x="0" y="0"/>
          <a:ext cx="0" cy="0"/>
        </a:xfrm>
        <a:prstGeom prst="rect">
          <a:avLst/>
        </a:prstGeom>
      </xdr:spPr>
    </xdr:pic>
    <xdr:clientData/>
  </xdr:oneCellAnchor>
  <xdr:oneCellAnchor editAs="oneCell">
    <xdr:from>
      <xdr:col>41</xdr:col>
      <xdr:colOff>42624</xdr:colOff>
      <xdr:row>63</xdr:row>
      <xdr:rowOff>22655</xdr:rowOff>
    </xdr:from>
    <xdr:ext cx="647700" cy="219075"/>
    <xdr:pic>
      <xdr:nvPicPr>
        <xdr:cNvPr id="99" name="Picture 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9" cstate="print"/>
        <a:stretch>
          <a:fillRect/>
        </a:stretch>
      </xdr:blipFill>
      <xdr:spPr>
        <a:xfrm>
          <a:off x="0" y="0"/>
          <a:ext cx="0" cy="0"/>
        </a:xfrm>
        <a:prstGeom prst="rect">
          <a:avLst/>
        </a:prstGeom>
      </xdr:spPr>
    </xdr:pic>
    <xdr:clientData/>
  </xdr:oneCellAnchor>
  <xdr:oneCellAnchor editAs="oneCell">
    <xdr:from>
      <xdr:col>7</xdr:col>
      <xdr:colOff>43686</xdr:colOff>
      <xdr:row>64</xdr:row>
      <xdr:rowOff>22655</xdr:rowOff>
    </xdr:from>
    <xdr:ext cx="257175" cy="219075"/>
    <xdr:pic>
      <xdr:nvPicPr>
        <xdr:cNvPr id="100" name="Picture 1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0" cstate="print"/>
        <a:stretch>
          <a:fillRect/>
        </a:stretch>
      </xdr:blipFill>
      <xdr:spPr>
        <a:xfrm>
          <a:off x="0" y="0"/>
          <a:ext cx="0" cy="0"/>
        </a:xfrm>
        <a:prstGeom prst="rect">
          <a:avLst/>
        </a:prstGeom>
      </xdr:spPr>
    </xdr:pic>
    <xdr:clientData/>
  </xdr:oneCellAnchor>
  <xdr:oneCellAnchor editAs="oneCell">
    <xdr:from>
      <xdr:col>8</xdr:col>
      <xdr:colOff>43686</xdr:colOff>
      <xdr:row>64</xdr:row>
      <xdr:rowOff>22655</xdr:rowOff>
    </xdr:from>
    <xdr:ext cx="257175" cy="219075"/>
    <xdr:pic>
      <xdr:nvPicPr>
        <xdr:cNvPr id="101" name="Picture 1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1" cstate="print"/>
        <a:stretch>
          <a:fillRect/>
        </a:stretch>
      </xdr:blipFill>
      <xdr:spPr>
        <a:xfrm>
          <a:off x="0" y="0"/>
          <a:ext cx="0" cy="0"/>
        </a:xfrm>
        <a:prstGeom prst="rect">
          <a:avLst/>
        </a:prstGeom>
      </xdr:spPr>
    </xdr:pic>
    <xdr:clientData/>
  </xdr:oneCellAnchor>
  <xdr:oneCellAnchor editAs="oneCell">
    <xdr:from>
      <xdr:col>9</xdr:col>
      <xdr:colOff>43686</xdr:colOff>
      <xdr:row>64</xdr:row>
      <xdr:rowOff>22655</xdr:rowOff>
    </xdr:from>
    <xdr:ext cx="257175" cy="219075"/>
    <xdr:pic>
      <xdr:nvPicPr>
        <xdr:cNvPr id="102" name="Picture 1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2" cstate="print"/>
        <a:stretch>
          <a:fillRect/>
        </a:stretch>
      </xdr:blipFill>
      <xdr:spPr>
        <a:xfrm>
          <a:off x="0" y="0"/>
          <a:ext cx="0" cy="0"/>
        </a:xfrm>
        <a:prstGeom prst="rect">
          <a:avLst/>
        </a:prstGeom>
      </xdr:spPr>
    </xdr:pic>
    <xdr:clientData/>
  </xdr:oneCellAnchor>
  <xdr:oneCellAnchor editAs="oneCell">
    <xdr:from>
      <xdr:col>10</xdr:col>
      <xdr:colOff>43686</xdr:colOff>
      <xdr:row>64</xdr:row>
      <xdr:rowOff>22655</xdr:rowOff>
    </xdr:from>
    <xdr:ext cx="257175" cy="219075"/>
    <xdr:pic>
      <xdr:nvPicPr>
        <xdr:cNvPr id="103" name="Picture 1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3" cstate="print"/>
        <a:stretch>
          <a:fillRect/>
        </a:stretch>
      </xdr:blipFill>
      <xdr:spPr>
        <a:xfrm>
          <a:off x="0" y="0"/>
          <a:ext cx="0" cy="0"/>
        </a:xfrm>
        <a:prstGeom prst="rect">
          <a:avLst/>
        </a:prstGeom>
      </xdr:spPr>
    </xdr:pic>
    <xdr:clientData/>
  </xdr:oneCellAnchor>
  <xdr:oneCellAnchor editAs="oneCell">
    <xdr:from>
      <xdr:col>11</xdr:col>
      <xdr:colOff>43686</xdr:colOff>
      <xdr:row>64</xdr:row>
      <xdr:rowOff>22655</xdr:rowOff>
    </xdr:from>
    <xdr:ext cx="257175" cy="219075"/>
    <xdr:pic>
      <xdr:nvPicPr>
        <xdr:cNvPr id="104" name="Picture 1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4" cstate="print"/>
        <a:stretch>
          <a:fillRect/>
        </a:stretch>
      </xdr:blipFill>
      <xdr:spPr>
        <a:xfrm>
          <a:off x="0" y="0"/>
          <a:ext cx="0" cy="0"/>
        </a:xfrm>
        <a:prstGeom prst="rect">
          <a:avLst/>
        </a:prstGeom>
      </xdr:spPr>
    </xdr:pic>
    <xdr:clientData/>
  </xdr:oneCellAnchor>
  <xdr:oneCellAnchor editAs="oneCell">
    <xdr:from>
      <xdr:col>12</xdr:col>
      <xdr:colOff>43686</xdr:colOff>
      <xdr:row>64</xdr:row>
      <xdr:rowOff>22655</xdr:rowOff>
    </xdr:from>
    <xdr:ext cx="257175" cy="219075"/>
    <xdr:pic>
      <xdr:nvPicPr>
        <xdr:cNvPr id="105" name="Picture 1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5" cstate="print"/>
        <a:stretch>
          <a:fillRect/>
        </a:stretch>
      </xdr:blipFill>
      <xdr:spPr>
        <a:xfrm>
          <a:off x="0" y="0"/>
          <a:ext cx="0" cy="0"/>
        </a:xfrm>
        <a:prstGeom prst="rect">
          <a:avLst/>
        </a:prstGeom>
      </xdr:spPr>
    </xdr:pic>
    <xdr:clientData/>
  </xdr:oneCellAnchor>
  <xdr:oneCellAnchor editAs="oneCell">
    <xdr:from>
      <xdr:col>13</xdr:col>
      <xdr:colOff>43686</xdr:colOff>
      <xdr:row>64</xdr:row>
      <xdr:rowOff>22655</xdr:rowOff>
    </xdr:from>
    <xdr:ext cx="257175" cy="219075"/>
    <xdr:pic>
      <xdr:nvPicPr>
        <xdr:cNvPr id="106" name="Picture 1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6" cstate="print"/>
        <a:stretch>
          <a:fillRect/>
        </a:stretch>
      </xdr:blipFill>
      <xdr:spPr>
        <a:xfrm>
          <a:off x="0" y="0"/>
          <a:ext cx="0" cy="0"/>
        </a:xfrm>
        <a:prstGeom prst="rect">
          <a:avLst/>
        </a:prstGeom>
      </xdr:spPr>
    </xdr:pic>
    <xdr:clientData/>
  </xdr:oneCellAnchor>
  <xdr:oneCellAnchor editAs="oneCell">
    <xdr:from>
      <xdr:col>14</xdr:col>
      <xdr:colOff>43686</xdr:colOff>
      <xdr:row>64</xdr:row>
      <xdr:rowOff>22655</xdr:rowOff>
    </xdr:from>
    <xdr:ext cx="257175" cy="219075"/>
    <xdr:pic>
      <xdr:nvPicPr>
        <xdr:cNvPr id="107" name="Picture 1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7" cstate="print"/>
        <a:stretch>
          <a:fillRect/>
        </a:stretch>
      </xdr:blipFill>
      <xdr:spPr>
        <a:xfrm>
          <a:off x="0" y="0"/>
          <a:ext cx="0" cy="0"/>
        </a:xfrm>
        <a:prstGeom prst="rect">
          <a:avLst/>
        </a:prstGeom>
      </xdr:spPr>
    </xdr:pic>
    <xdr:clientData/>
  </xdr:oneCellAnchor>
  <xdr:oneCellAnchor editAs="oneCell">
    <xdr:from>
      <xdr:col>15</xdr:col>
      <xdr:colOff>43686</xdr:colOff>
      <xdr:row>64</xdr:row>
      <xdr:rowOff>22655</xdr:rowOff>
    </xdr:from>
    <xdr:ext cx="257175" cy="219075"/>
    <xdr:pic>
      <xdr:nvPicPr>
        <xdr:cNvPr id="108" name="Picture 1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8" cstate="print"/>
        <a:stretch>
          <a:fillRect/>
        </a:stretch>
      </xdr:blipFill>
      <xdr:spPr>
        <a:xfrm>
          <a:off x="0" y="0"/>
          <a:ext cx="0" cy="0"/>
        </a:xfrm>
        <a:prstGeom prst="rect">
          <a:avLst/>
        </a:prstGeom>
      </xdr:spPr>
    </xdr:pic>
    <xdr:clientData/>
  </xdr:oneCellAnchor>
  <xdr:oneCellAnchor editAs="oneCell">
    <xdr:from>
      <xdr:col>16</xdr:col>
      <xdr:colOff>43686</xdr:colOff>
      <xdr:row>64</xdr:row>
      <xdr:rowOff>22655</xdr:rowOff>
    </xdr:from>
    <xdr:ext cx="257175" cy="219075"/>
    <xdr:pic>
      <xdr:nvPicPr>
        <xdr:cNvPr id="109" name="Picture 1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9" cstate="print"/>
        <a:stretch>
          <a:fillRect/>
        </a:stretch>
      </xdr:blipFill>
      <xdr:spPr>
        <a:xfrm>
          <a:off x="0" y="0"/>
          <a:ext cx="0" cy="0"/>
        </a:xfrm>
        <a:prstGeom prst="rect">
          <a:avLst/>
        </a:prstGeom>
      </xdr:spPr>
    </xdr:pic>
    <xdr:clientData/>
  </xdr:oneCellAnchor>
  <xdr:oneCellAnchor editAs="oneCell">
    <xdr:from>
      <xdr:col>17</xdr:col>
      <xdr:colOff>43686</xdr:colOff>
      <xdr:row>64</xdr:row>
      <xdr:rowOff>22655</xdr:rowOff>
    </xdr:from>
    <xdr:ext cx="257175" cy="219075"/>
    <xdr:pic>
      <xdr:nvPicPr>
        <xdr:cNvPr id="110" name="Picture 1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0" cstate="print"/>
        <a:stretch>
          <a:fillRect/>
        </a:stretch>
      </xdr:blipFill>
      <xdr:spPr>
        <a:xfrm>
          <a:off x="0" y="0"/>
          <a:ext cx="0" cy="0"/>
        </a:xfrm>
        <a:prstGeom prst="rect">
          <a:avLst/>
        </a:prstGeom>
      </xdr:spPr>
    </xdr:pic>
    <xdr:clientData/>
  </xdr:oneCellAnchor>
  <xdr:oneCellAnchor editAs="oneCell">
    <xdr:from>
      <xdr:col>18</xdr:col>
      <xdr:colOff>43686</xdr:colOff>
      <xdr:row>64</xdr:row>
      <xdr:rowOff>22655</xdr:rowOff>
    </xdr:from>
    <xdr:ext cx="257175" cy="219075"/>
    <xdr:pic>
      <xdr:nvPicPr>
        <xdr:cNvPr id="111" name="Picture 1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1" cstate="print"/>
        <a:stretch>
          <a:fillRect/>
        </a:stretch>
      </xdr:blipFill>
      <xdr:spPr>
        <a:xfrm>
          <a:off x="0" y="0"/>
          <a:ext cx="0" cy="0"/>
        </a:xfrm>
        <a:prstGeom prst="rect">
          <a:avLst/>
        </a:prstGeom>
      </xdr:spPr>
    </xdr:pic>
    <xdr:clientData/>
  </xdr:oneCellAnchor>
  <xdr:oneCellAnchor editAs="oneCell">
    <xdr:from>
      <xdr:col>19</xdr:col>
      <xdr:colOff>43686</xdr:colOff>
      <xdr:row>64</xdr:row>
      <xdr:rowOff>22655</xdr:rowOff>
    </xdr:from>
    <xdr:ext cx="257175" cy="219075"/>
    <xdr:pic>
      <xdr:nvPicPr>
        <xdr:cNvPr id="112" name="Picture 1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2" cstate="print"/>
        <a:stretch>
          <a:fillRect/>
        </a:stretch>
      </xdr:blipFill>
      <xdr:spPr>
        <a:xfrm>
          <a:off x="0" y="0"/>
          <a:ext cx="0" cy="0"/>
        </a:xfrm>
        <a:prstGeom prst="rect">
          <a:avLst/>
        </a:prstGeom>
      </xdr:spPr>
    </xdr:pic>
    <xdr:clientData/>
  </xdr:oneCellAnchor>
  <xdr:oneCellAnchor editAs="oneCell">
    <xdr:from>
      <xdr:col>20</xdr:col>
      <xdr:colOff>43686</xdr:colOff>
      <xdr:row>64</xdr:row>
      <xdr:rowOff>22655</xdr:rowOff>
    </xdr:from>
    <xdr:ext cx="257175" cy="219075"/>
    <xdr:pic>
      <xdr:nvPicPr>
        <xdr:cNvPr id="113" name="Picture 1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3" cstate="print"/>
        <a:stretch>
          <a:fillRect/>
        </a:stretch>
      </xdr:blipFill>
      <xdr:spPr>
        <a:xfrm>
          <a:off x="0" y="0"/>
          <a:ext cx="0" cy="0"/>
        </a:xfrm>
        <a:prstGeom prst="rect">
          <a:avLst/>
        </a:prstGeom>
      </xdr:spPr>
    </xdr:pic>
    <xdr:clientData/>
  </xdr:oneCellAnchor>
  <xdr:oneCellAnchor editAs="oneCell">
    <xdr:from>
      <xdr:col>21</xdr:col>
      <xdr:colOff>43686</xdr:colOff>
      <xdr:row>64</xdr:row>
      <xdr:rowOff>22655</xdr:rowOff>
    </xdr:from>
    <xdr:ext cx="257175" cy="219075"/>
    <xdr:pic>
      <xdr:nvPicPr>
        <xdr:cNvPr id="114" name="Picture 1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4" cstate="print"/>
        <a:stretch>
          <a:fillRect/>
        </a:stretch>
      </xdr:blipFill>
      <xdr:spPr>
        <a:xfrm>
          <a:off x="0" y="0"/>
          <a:ext cx="0" cy="0"/>
        </a:xfrm>
        <a:prstGeom prst="rect">
          <a:avLst/>
        </a:prstGeom>
      </xdr:spPr>
    </xdr:pic>
    <xdr:clientData/>
  </xdr:oneCellAnchor>
  <xdr:oneCellAnchor editAs="oneCell">
    <xdr:from>
      <xdr:col>22</xdr:col>
      <xdr:colOff>43686</xdr:colOff>
      <xdr:row>64</xdr:row>
      <xdr:rowOff>22655</xdr:rowOff>
    </xdr:from>
    <xdr:ext cx="257175" cy="219075"/>
    <xdr:pic>
      <xdr:nvPicPr>
        <xdr:cNvPr id="115" name="Picture 1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5" cstate="print"/>
        <a:stretch>
          <a:fillRect/>
        </a:stretch>
      </xdr:blipFill>
      <xdr:spPr>
        <a:xfrm>
          <a:off x="0" y="0"/>
          <a:ext cx="0" cy="0"/>
        </a:xfrm>
        <a:prstGeom prst="rect">
          <a:avLst/>
        </a:prstGeom>
      </xdr:spPr>
    </xdr:pic>
    <xdr:clientData/>
  </xdr:oneCellAnchor>
  <xdr:oneCellAnchor editAs="oneCell">
    <xdr:from>
      <xdr:col>23</xdr:col>
      <xdr:colOff>43686</xdr:colOff>
      <xdr:row>64</xdr:row>
      <xdr:rowOff>22655</xdr:rowOff>
    </xdr:from>
    <xdr:ext cx="257175" cy="219075"/>
    <xdr:pic>
      <xdr:nvPicPr>
        <xdr:cNvPr id="116" name="Picture 1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6" cstate="print"/>
        <a:stretch>
          <a:fillRect/>
        </a:stretch>
      </xdr:blipFill>
      <xdr:spPr>
        <a:xfrm>
          <a:off x="0" y="0"/>
          <a:ext cx="0" cy="0"/>
        </a:xfrm>
        <a:prstGeom prst="rect">
          <a:avLst/>
        </a:prstGeom>
      </xdr:spPr>
    </xdr:pic>
    <xdr:clientData/>
  </xdr:oneCellAnchor>
  <xdr:oneCellAnchor editAs="oneCell">
    <xdr:from>
      <xdr:col>24</xdr:col>
      <xdr:colOff>43686</xdr:colOff>
      <xdr:row>64</xdr:row>
      <xdr:rowOff>22655</xdr:rowOff>
    </xdr:from>
    <xdr:ext cx="257175" cy="219075"/>
    <xdr:pic>
      <xdr:nvPicPr>
        <xdr:cNvPr id="117" name="Picture 1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7" cstate="print"/>
        <a:stretch>
          <a:fillRect/>
        </a:stretch>
      </xdr:blipFill>
      <xdr:spPr>
        <a:xfrm>
          <a:off x="0" y="0"/>
          <a:ext cx="0" cy="0"/>
        </a:xfrm>
        <a:prstGeom prst="rect">
          <a:avLst/>
        </a:prstGeom>
      </xdr:spPr>
    </xdr:pic>
    <xdr:clientData/>
  </xdr:oneCellAnchor>
  <xdr:oneCellAnchor editAs="oneCell">
    <xdr:from>
      <xdr:col>26</xdr:col>
      <xdr:colOff>20847</xdr:colOff>
      <xdr:row>64</xdr:row>
      <xdr:rowOff>17519</xdr:rowOff>
    </xdr:from>
    <xdr:ext cx="285750" cy="228600"/>
    <xdr:pic>
      <xdr:nvPicPr>
        <xdr:cNvPr id="118" name="Picture 1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8" cstate="print"/>
        <a:stretch>
          <a:fillRect/>
        </a:stretch>
      </xdr:blipFill>
      <xdr:spPr>
        <a:xfrm>
          <a:off x="0" y="0"/>
          <a:ext cx="0" cy="0"/>
        </a:xfrm>
        <a:prstGeom prst="rect">
          <a:avLst/>
        </a:prstGeom>
      </xdr:spPr>
    </xdr:pic>
    <xdr:clientData/>
  </xdr:oneCellAnchor>
  <xdr:oneCellAnchor editAs="oneCell">
    <xdr:from>
      <xdr:col>27</xdr:col>
      <xdr:colOff>20847</xdr:colOff>
      <xdr:row>64</xdr:row>
      <xdr:rowOff>17519</xdr:rowOff>
    </xdr:from>
    <xdr:ext cx="285750" cy="228600"/>
    <xdr:pic>
      <xdr:nvPicPr>
        <xdr:cNvPr id="119" name="Picture 1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9" cstate="print"/>
        <a:stretch>
          <a:fillRect/>
        </a:stretch>
      </xdr:blipFill>
      <xdr:spPr>
        <a:xfrm>
          <a:off x="0" y="0"/>
          <a:ext cx="0" cy="0"/>
        </a:xfrm>
        <a:prstGeom prst="rect">
          <a:avLst/>
        </a:prstGeom>
      </xdr:spPr>
    </xdr:pic>
    <xdr:clientData/>
  </xdr:oneCellAnchor>
  <xdr:oneCellAnchor editAs="oneCell">
    <xdr:from>
      <xdr:col>28</xdr:col>
      <xdr:colOff>20847</xdr:colOff>
      <xdr:row>64</xdr:row>
      <xdr:rowOff>17519</xdr:rowOff>
    </xdr:from>
    <xdr:ext cx="285750" cy="228600"/>
    <xdr:pic>
      <xdr:nvPicPr>
        <xdr:cNvPr id="120" name="Picture 1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0" cstate="print"/>
        <a:stretch>
          <a:fillRect/>
        </a:stretch>
      </xdr:blipFill>
      <xdr:spPr>
        <a:xfrm>
          <a:off x="0" y="0"/>
          <a:ext cx="0" cy="0"/>
        </a:xfrm>
        <a:prstGeom prst="rect">
          <a:avLst/>
        </a:prstGeom>
      </xdr:spPr>
    </xdr:pic>
    <xdr:clientData/>
  </xdr:oneCellAnchor>
  <xdr:oneCellAnchor editAs="oneCell">
    <xdr:from>
      <xdr:col>28</xdr:col>
      <xdr:colOff>43686</xdr:colOff>
      <xdr:row>64</xdr:row>
      <xdr:rowOff>22655</xdr:rowOff>
    </xdr:from>
    <xdr:ext cx="257175" cy="219075"/>
    <xdr:pic>
      <xdr:nvPicPr>
        <xdr:cNvPr id="121" name="Picture 1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1" cstate="print"/>
        <a:stretch>
          <a:fillRect/>
        </a:stretch>
      </xdr:blipFill>
      <xdr:spPr>
        <a:xfrm>
          <a:off x="0" y="0"/>
          <a:ext cx="0" cy="0"/>
        </a:xfrm>
        <a:prstGeom prst="rect">
          <a:avLst/>
        </a:prstGeom>
      </xdr:spPr>
    </xdr:pic>
    <xdr:clientData/>
  </xdr:oneCellAnchor>
  <xdr:oneCellAnchor editAs="oneCell">
    <xdr:from>
      <xdr:col>29</xdr:col>
      <xdr:colOff>43686</xdr:colOff>
      <xdr:row>64</xdr:row>
      <xdr:rowOff>22655</xdr:rowOff>
    </xdr:from>
    <xdr:ext cx="257175" cy="219075"/>
    <xdr:pic>
      <xdr:nvPicPr>
        <xdr:cNvPr id="122" name="Picture 1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2" cstate="print"/>
        <a:stretch>
          <a:fillRect/>
        </a:stretch>
      </xdr:blipFill>
      <xdr:spPr>
        <a:xfrm>
          <a:off x="0" y="0"/>
          <a:ext cx="0" cy="0"/>
        </a:xfrm>
        <a:prstGeom prst="rect">
          <a:avLst/>
        </a:prstGeom>
      </xdr:spPr>
    </xdr:pic>
    <xdr:clientData/>
  </xdr:oneCellAnchor>
  <xdr:oneCellAnchor editAs="oneCell">
    <xdr:from>
      <xdr:col>41</xdr:col>
      <xdr:colOff>42624</xdr:colOff>
      <xdr:row>64</xdr:row>
      <xdr:rowOff>22655</xdr:rowOff>
    </xdr:from>
    <xdr:ext cx="647700" cy="219075"/>
    <xdr:pic>
      <xdr:nvPicPr>
        <xdr:cNvPr id="123" name="Picture 1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3" cstate="print"/>
        <a:stretch>
          <a:fillRect/>
        </a:stretch>
      </xdr:blipFill>
      <xdr:spPr>
        <a:xfrm>
          <a:off x="0" y="0"/>
          <a:ext cx="0" cy="0"/>
        </a:xfrm>
        <a:prstGeom prst="rect">
          <a:avLst/>
        </a:prstGeom>
      </xdr:spPr>
    </xdr:pic>
    <xdr:clientData/>
  </xdr:oneCellAnchor>
  <xdr:oneCellAnchor editAs="oneCell">
    <xdr:from>
      <xdr:col>7</xdr:col>
      <xdr:colOff>43686</xdr:colOff>
      <xdr:row>65</xdr:row>
      <xdr:rowOff>22655</xdr:rowOff>
    </xdr:from>
    <xdr:ext cx="257175" cy="219075"/>
    <xdr:pic>
      <xdr:nvPicPr>
        <xdr:cNvPr id="124" name="Picture 1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4" cstate="print"/>
        <a:stretch>
          <a:fillRect/>
        </a:stretch>
      </xdr:blipFill>
      <xdr:spPr>
        <a:xfrm>
          <a:off x="0" y="0"/>
          <a:ext cx="0" cy="0"/>
        </a:xfrm>
        <a:prstGeom prst="rect">
          <a:avLst/>
        </a:prstGeom>
      </xdr:spPr>
    </xdr:pic>
    <xdr:clientData/>
  </xdr:oneCellAnchor>
  <xdr:oneCellAnchor editAs="oneCell">
    <xdr:from>
      <xdr:col>8</xdr:col>
      <xdr:colOff>43686</xdr:colOff>
      <xdr:row>65</xdr:row>
      <xdr:rowOff>22655</xdr:rowOff>
    </xdr:from>
    <xdr:ext cx="257175" cy="219075"/>
    <xdr:pic>
      <xdr:nvPicPr>
        <xdr:cNvPr id="125" name="Picture 1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5" cstate="print"/>
        <a:stretch>
          <a:fillRect/>
        </a:stretch>
      </xdr:blipFill>
      <xdr:spPr>
        <a:xfrm>
          <a:off x="0" y="0"/>
          <a:ext cx="0" cy="0"/>
        </a:xfrm>
        <a:prstGeom prst="rect">
          <a:avLst/>
        </a:prstGeom>
      </xdr:spPr>
    </xdr:pic>
    <xdr:clientData/>
  </xdr:oneCellAnchor>
  <xdr:oneCellAnchor editAs="oneCell">
    <xdr:from>
      <xdr:col>9</xdr:col>
      <xdr:colOff>43686</xdr:colOff>
      <xdr:row>65</xdr:row>
      <xdr:rowOff>22655</xdr:rowOff>
    </xdr:from>
    <xdr:ext cx="257175" cy="219075"/>
    <xdr:pic>
      <xdr:nvPicPr>
        <xdr:cNvPr id="126" name="Picture 1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6" cstate="print"/>
        <a:stretch>
          <a:fillRect/>
        </a:stretch>
      </xdr:blipFill>
      <xdr:spPr>
        <a:xfrm>
          <a:off x="0" y="0"/>
          <a:ext cx="0" cy="0"/>
        </a:xfrm>
        <a:prstGeom prst="rect">
          <a:avLst/>
        </a:prstGeom>
      </xdr:spPr>
    </xdr:pic>
    <xdr:clientData/>
  </xdr:oneCellAnchor>
  <xdr:oneCellAnchor editAs="oneCell">
    <xdr:from>
      <xdr:col>10</xdr:col>
      <xdr:colOff>43686</xdr:colOff>
      <xdr:row>65</xdr:row>
      <xdr:rowOff>22655</xdr:rowOff>
    </xdr:from>
    <xdr:ext cx="257175" cy="219075"/>
    <xdr:pic>
      <xdr:nvPicPr>
        <xdr:cNvPr id="127" name="Picture 1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7" cstate="print"/>
        <a:stretch>
          <a:fillRect/>
        </a:stretch>
      </xdr:blipFill>
      <xdr:spPr>
        <a:xfrm>
          <a:off x="0" y="0"/>
          <a:ext cx="0" cy="0"/>
        </a:xfrm>
        <a:prstGeom prst="rect">
          <a:avLst/>
        </a:prstGeom>
      </xdr:spPr>
    </xdr:pic>
    <xdr:clientData/>
  </xdr:oneCellAnchor>
  <xdr:oneCellAnchor editAs="oneCell">
    <xdr:from>
      <xdr:col>11</xdr:col>
      <xdr:colOff>43686</xdr:colOff>
      <xdr:row>65</xdr:row>
      <xdr:rowOff>22655</xdr:rowOff>
    </xdr:from>
    <xdr:ext cx="257175" cy="219075"/>
    <xdr:pic>
      <xdr:nvPicPr>
        <xdr:cNvPr id="128" name="Picture 1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8" cstate="print"/>
        <a:stretch>
          <a:fillRect/>
        </a:stretch>
      </xdr:blipFill>
      <xdr:spPr>
        <a:xfrm>
          <a:off x="0" y="0"/>
          <a:ext cx="0" cy="0"/>
        </a:xfrm>
        <a:prstGeom prst="rect">
          <a:avLst/>
        </a:prstGeom>
      </xdr:spPr>
    </xdr:pic>
    <xdr:clientData/>
  </xdr:oneCellAnchor>
  <xdr:oneCellAnchor editAs="oneCell">
    <xdr:from>
      <xdr:col>12</xdr:col>
      <xdr:colOff>43686</xdr:colOff>
      <xdr:row>65</xdr:row>
      <xdr:rowOff>22655</xdr:rowOff>
    </xdr:from>
    <xdr:ext cx="257175" cy="219075"/>
    <xdr:pic>
      <xdr:nvPicPr>
        <xdr:cNvPr id="129" name="Picture 1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9" cstate="print"/>
        <a:stretch>
          <a:fillRect/>
        </a:stretch>
      </xdr:blipFill>
      <xdr:spPr>
        <a:xfrm>
          <a:off x="0" y="0"/>
          <a:ext cx="0" cy="0"/>
        </a:xfrm>
        <a:prstGeom prst="rect">
          <a:avLst/>
        </a:prstGeom>
      </xdr:spPr>
    </xdr:pic>
    <xdr:clientData/>
  </xdr:oneCellAnchor>
  <xdr:oneCellAnchor editAs="oneCell">
    <xdr:from>
      <xdr:col>13</xdr:col>
      <xdr:colOff>43686</xdr:colOff>
      <xdr:row>65</xdr:row>
      <xdr:rowOff>22655</xdr:rowOff>
    </xdr:from>
    <xdr:ext cx="257175" cy="219075"/>
    <xdr:pic>
      <xdr:nvPicPr>
        <xdr:cNvPr id="130" name="Picture 1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0" cstate="print"/>
        <a:stretch>
          <a:fillRect/>
        </a:stretch>
      </xdr:blipFill>
      <xdr:spPr>
        <a:xfrm>
          <a:off x="0" y="0"/>
          <a:ext cx="0" cy="0"/>
        </a:xfrm>
        <a:prstGeom prst="rect">
          <a:avLst/>
        </a:prstGeom>
      </xdr:spPr>
    </xdr:pic>
    <xdr:clientData/>
  </xdr:oneCellAnchor>
  <xdr:oneCellAnchor editAs="oneCell">
    <xdr:from>
      <xdr:col>14</xdr:col>
      <xdr:colOff>43686</xdr:colOff>
      <xdr:row>65</xdr:row>
      <xdr:rowOff>22655</xdr:rowOff>
    </xdr:from>
    <xdr:ext cx="257175" cy="219075"/>
    <xdr:pic>
      <xdr:nvPicPr>
        <xdr:cNvPr id="131" name="Picture 1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1" cstate="print"/>
        <a:stretch>
          <a:fillRect/>
        </a:stretch>
      </xdr:blipFill>
      <xdr:spPr>
        <a:xfrm>
          <a:off x="0" y="0"/>
          <a:ext cx="0" cy="0"/>
        </a:xfrm>
        <a:prstGeom prst="rect">
          <a:avLst/>
        </a:prstGeom>
      </xdr:spPr>
    </xdr:pic>
    <xdr:clientData/>
  </xdr:oneCellAnchor>
  <xdr:oneCellAnchor editAs="oneCell">
    <xdr:from>
      <xdr:col>15</xdr:col>
      <xdr:colOff>43686</xdr:colOff>
      <xdr:row>65</xdr:row>
      <xdr:rowOff>22655</xdr:rowOff>
    </xdr:from>
    <xdr:ext cx="257175" cy="219075"/>
    <xdr:pic>
      <xdr:nvPicPr>
        <xdr:cNvPr id="132" name="Picture 1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2" cstate="print"/>
        <a:stretch>
          <a:fillRect/>
        </a:stretch>
      </xdr:blipFill>
      <xdr:spPr>
        <a:xfrm>
          <a:off x="0" y="0"/>
          <a:ext cx="0" cy="0"/>
        </a:xfrm>
        <a:prstGeom prst="rect">
          <a:avLst/>
        </a:prstGeom>
      </xdr:spPr>
    </xdr:pic>
    <xdr:clientData/>
  </xdr:oneCellAnchor>
  <xdr:oneCellAnchor editAs="oneCell">
    <xdr:from>
      <xdr:col>16</xdr:col>
      <xdr:colOff>43686</xdr:colOff>
      <xdr:row>65</xdr:row>
      <xdr:rowOff>22655</xdr:rowOff>
    </xdr:from>
    <xdr:ext cx="257175" cy="219075"/>
    <xdr:pic>
      <xdr:nvPicPr>
        <xdr:cNvPr id="133" name="Picture 1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3" cstate="print"/>
        <a:stretch>
          <a:fillRect/>
        </a:stretch>
      </xdr:blipFill>
      <xdr:spPr>
        <a:xfrm>
          <a:off x="0" y="0"/>
          <a:ext cx="0" cy="0"/>
        </a:xfrm>
        <a:prstGeom prst="rect">
          <a:avLst/>
        </a:prstGeom>
      </xdr:spPr>
    </xdr:pic>
    <xdr:clientData/>
  </xdr:oneCellAnchor>
  <xdr:oneCellAnchor editAs="oneCell">
    <xdr:from>
      <xdr:col>17</xdr:col>
      <xdr:colOff>43686</xdr:colOff>
      <xdr:row>65</xdr:row>
      <xdr:rowOff>22655</xdr:rowOff>
    </xdr:from>
    <xdr:ext cx="257175" cy="219075"/>
    <xdr:pic>
      <xdr:nvPicPr>
        <xdr:cNvPr id="134" name="Picture 1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4" cstate="print"/>
        <a:stretch>
          <a:fillRect/>
        </a:stretch>
      </xdr:blipFill>
      <xdr:spPr>
        <a:xfrm>
          <a:off x="0" y="0"/>
          <a:ext cx="0" cy="0"/>
        </a:xfrm>
        <a:prstGeom prst="rect">
          <a:avLst/>
        </a:prstGeom>
      </xdr:spPr>
    </xdr:pic>
    <xdr:clientData/>
  </xdr:oneCellAnchor>
  <xdr:oneCellAnchor editAs="oneCell">
    <xdr:from>
      <xdr:col>18</xdr:col>
      <xdr:colOff>43686</xdr:colOff>
      <xdr:row>65</xdr:row>
      <xdr:rowOff>22655</xdr:rowOff>
    </xdr:from>
    <xdr:ext cx="257175" cy="219075"/>
    <xdr:pic>
      <xdr:nvPicPr>
        <xdr:cNvPr id="135" name="Picture 1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5" cstate="print"/>
        <a:stretch>
          <a:fillRect/>
        </a:stretch>
      </xdr:blipFill>
      <xdr:spPr>
        <a:xfrm>
          <a:off x="0" y="0"/>
          <a:ext cx="0" cy="0"/>
        </a:xfrm>
        <a:prstGeom prst="rect">
          <a:avLst/>
        </a:prstGeom>
      </xdr:spPr>
    </xdr:pic>
    <xdr:clientData/>
  </xdr:oneCellAnchor>
  <xdr:oneCellAnchor editAs="oneCell">
    <xdr:from>
      <xdr:col>19</xdr:col>
      <xdr:colOff>43686</xdr:colOff>
      <xdr:row>65</xdr:row>
      <xdr:rowOff>22655</xdr:rowOff>
    </xdr:from>
    <xdr:ext cx="257175" cy="219075"/>
    <xdr:pic>
      <xdr:nvPicPr>
        <xdr:cNvPr id="136" name="Picture 1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6" cstate="print"/>
        <a:stretch>
          <a:fillRect/>
        </a:stretch>
      </xdr:blipFill>
      <xdr:spPr>
        <a:xfrm>
          <a:off x="0" y="0"/>
          <a:ext cx="0" cy="0"/>
        </a:xfrm>
        <a:prstGeom prst="rect">
          <a:avLst/>
        </a:prstGeom>
      </xdr:spPr>
    </xdr:pic>
    <xdr:clientData/>
  </xdr:oneCellAnchor>
  <xdr:oneCellAnchor editAs="oneCell">
    <xdr:from>
      <xdr:col>20</xdr:col>
      <xdr:colOff>43686</xdr:colOff>
      <xdr:row>65</xdr:row>
      <xdr:rowOff>22655</xdr:rowOff>
    </xdr:from>
    <xdr:ext cx="257175" cy="219075"/>
    <xdr:pic>
      <xdr:nvPicPr>
        <xdr:cNvPr id="137" name="Picture 1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7" cstate="print"/>
        <a:stretch>
          <a:fillRect/>
        </a:stretch>
      </xdr:blipFill>
      <xdr:spPr>
        <a:xfrm>
          <a:off x="0" y="0"/>
          <a:ext cx="0" cy="0"/>
        </a:xfrm>
        <a:prstGeom prst="rect">
          <a:avLst/>
        </a:prstGeom>
      </xdr:spPr>
    </xdr:pic>
    <xdr:clientData/>
  </xdr:oneCellAnchor>
  <xdr:oneCellAnchor editAs="oneCell">
    <xdr:from>
      <xdr:col>21</xdr:col>
      <xdr:colOff>43686</xdr:colOff>
      <xdr:row>65</xdr:row>
      <xdr:rowOff>22655</xdr:rowOff>
    </xdr:from>
    <xdr:ext cx="257175" cy="219075"/>
    <xdr:pic>
      <xdr:nvPicPr>
        <xdr:cNvPr id="138" name="Picture 1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8" cstate="print"/>
        <a:stretch>
          <a:fillRect/>
        </a:stretch>
      </xdr:blipFill>
      <xdr:spPr>
        <a:xfrm>
          <a:off x="0" y="0"/>
          <a:ext cx="0" cy="0"/>
        </a:xfrm>
        <a:prstGeom prst="rect">
          <a:avLst/>
        </a:prstGeom>
      </xdr:spPr>
    </xdr:pic>
    <xdr:clientData/>
  </xdr:oneCellAnchor>
  <xdr:oneCellAnchor editAs="oneCell">
    <xdr:from>
      <xdr:col>22</xdr:col>
      <xdr:colOff>43686</xdr:colOff>
      <xdr:row>65</xdr:row>
      <xdr:rowOff>22655</xdr:rowOff>
    </xdr:from>
    <xdr:ext cx="257175" cy="219075"/>
    <xdr:pic>
      <xdr:nvPicPr>
        <xdr:cNvPr id="139" name="Picture 1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9" cstate="print"/>
        <a:stretch>
          <a:fillRect/>
        </a:stretch>
      </xdr:blipFill>
      <xdr:spPr>
        <a:xfrm>
          <a:off x="0" y="0"/>
          <a:ext cx="0" cy="0"/>
        </a:xfrm>
        <a:prstGeom prst="rect">
          <a:avLst/>
        </a:prstGeom>
      </xdr:spPr>
    </xdr:pic>
    <xdr:clientData/>
  </xdr:oneCellAnchor>
  <xdr:oneCellAnchor editAs="oneCell">
    <xdr:from>
      <xdr:col>23</xdr:col>
      <xdr:colOff>43686</xdr:colOff>
      <xdr:row>65</xdr:row>
      <xdr:rowOff>22655</xdr:rowOff>
    </xdr:from>
    <xdr:ext cx="257175" cy="219075"/>
    <xdr:pic>
      <xdr:nvPicPr>
        <xdr:cNvPr id="140" name="Picture 1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0" cstate="print"/>
        <a:stretch>
          <a:fillRect/>
        </a:stretch>
      </xdr:blipFill>
      <xdr:spPr>
        <a:xfrm>
          <a:off x="0" y="0"/>
          <a:ext cx="0" cy="0"/>
        </a:xfrm>
        <a:prstGeom prst="rect">
          <a:avLst/>
        </a:prstGeom>
      </xdr:spPr>
    </xdr:pic>
    <xdr:clientData/>
  </xdr:oneCellAnchor>
  <xdr:oneCellAnchor editAs="oneCell">
    <xdr:from>
      <xdr:col>24</xdr:col>
      <xdr:colOff>43686</xdr:colOff>
      <xdr:row>65</xdr:row>
      <xdr:rowOff>22655</xdr:rowOff>
    </xdr:from>
    <xdr:ext cx="257175" cy="219075"/>
    <xdr:pic>
      <xdr:nvPicPr>
        <xdr:cNvPr id="141" name="Picture 1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1" cstate="print"/>
        <a:stretch>
          <a:fillRect/>
        </a:stretch>
      </xdr:blipFill>
      <xdr:spPr>
        <a:xfrm>
          <a:off x="0" y="0"/>
          <a:ext cx="0" cy="0"/>
        </a:xfrm>
        <a:prstGeom prst="rect">
          <a:avLst/>
        </a:prstGeom>
      </xdr:spPr>
    </xdr:pic>
    <xdr:clientData/>
  </xdr:oneCellAnchor>
  <xdr:oneCellAnchor editAs="oneCell">
    <xdr:from>
      <xdr:col>26</xdr:col>
      <xdr:colOff>20847</xdr:colOff>
      <xdr:row>65</xdr:row>
      <xdr:rowOff>17519</xdr:rowOff>
    </xdr:from>
    <xdr:ext cx="285750" cy="228600"/>
    <xdr:pic>
      <xdr:nvPicPr>
        <xdr:cNvPr id="142" name="Picture 1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2" cstate="print"/>
        <a:stretch>
          <a:fillRect/>
        </a:stretch>
      </xdr:blipFill>
      <xdr:spPr>
        <a:xfrm>
          <a:off x="0" y="0"/>
          <a:ext cx="0" cy="0"/>
        </a:xfrm>
        <a:prstGeom prst="rect">
          <a:avLst/>
        </a:prstGeom>
      </xdr:spPr>
    </xdr:pic>
    <xdr:clientData/>
  </xdr:oneCellAnchor>
  <xdr:oneCellAnchor editAs="oneCell">
    <xdr:from>
      <xdr:col>27</xdr:col>
      <xdr:colOff>20847</xdr:colOff>
      <xdr:row>65</xdr:row>
      <xdr:rowOff>17519</xdr:rowOff>
    </xdr:from>
    <xdr:ext cx="285750" cy="228600"/>
    <xdr:pic>
      <xdr:nvPicPr>
        <xdr:cNvPr id="143" name="Picture 1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3" cstate="print"/>
        <a:stretch>
          <a:fillRect/>
        </a:stretch>
      </xdr:blipFill>
      <xdr:spPr>
        <a:xfrm>
          <a:off x="0" y="0"/>
          <a:ext cx="0" cy="0"/>
        </a:xfrm>
        <a:prstGeom prst="rect">
          <a:avLst/>
        </a:prstGeom>
      </xdr:spPr>
    </xdr:pic>
    <xdr:clientData/>
  </xdr:oneCellAnchor>
  <xdr:oneCellAnchor editAs="oneCell">
    <xdr:from>
      <xdr:col>27</xdr:col>
      <xdr:colOff>43686</xdr:colOff>
      <xdr:row>65</xdr:row>
      <xdr:rowOff>22655</xdr:rowOff>
    </xdr:from>
    <xdr:ext cx="257175" cy="219075"/>
    <xdr:pic>
      <xdr:nvPicPr>
        <xdr:cNvPr id="144" name="Picture 1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4" cstate="print"/>
        <a:stretch>
          <a:fillRect/>
        </a:stretch>
      </xdr:blipFill>
      <xdr:spPr>
        <a:xfrm>
          <a:off x="0" y="0"/>
          <a:ext cx="0" cy="0"/>
        </a:xfrm>
        <a:prstGeom prst="rect">
          <a:avLst/>
        </a:prstGeom>
      </xdr:spPr>
    </xdr:pic>
    <xdr:clientData/>
  </xdr:oneCellAnchor>
  <xdr:oneCellAnchor editAs="oneCell">
    <xdr:from>
      <xdr:col>28</xdr:col>
      <xdr:colOff>43686</xdr:colOff>
      <xdr:row>65</xdr:row>
      <xdr:rowOff>22655</xdr:rowOff>
    </xdr:from>
    <xdr:ext cx="257175" cy="219075"/>
    <xdr:pic>
      <xdr:nvPicPr>
        <xdr:cNvPr id="145" name="Picture 1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5" cstate="print"/>
        <a:stretch>
          <a:fillRect/>
        </a:stretch>
      </xdr:blipFill>
      <xdr:spPr>
        <a:xfrm>
          <a:off x="0" y="0"/>
          <a:ext cx="0" cy="0"/>
        </a:xfrm>
        <a:prstGeom prst="rect">
          <a:avLst/>
        </a:prstGeom>
      </xdr:spPr>
    </xdr:pic>
    <xdr:clientData/>
  </xdr:oneCellAnchor>
  <xdr:oneCellAnchor editAs="oneCell">
    <xdr:from>
      <xdr:col>29</xdr:col>
      <xdr:colOff>43686</xdr:colOff>
      <xdr:row>65</xdr:row>
      <xdr:rowOff>22655</xdr:rowOff>
    </xdr:from>
    <xdr:ext cx="257175" cy="219075"/>
    <xdr:pic>
      <xdr:nvPicPr>
        <xdr:cNvPr id="146" name="Picture 1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6" cstate="print"/>
        <a:stretch>
          <a:fillRect/>
        </a:stretch>
      </xdr:blipFill>
      <xdr:spPr>
        <a:xfrm>
          <a:off x="0" y="0"/>
          <a:ext cx="0" cy="0"/>
        </a:xfrm>
        <a:prstGeom prst="rect">
          <a:avLst/>
        </a:prstGeom>
      </xdr:spPr>
    </xdr:pic>
    <xdr:clientData/>
  </xdr:oneCellAnchor>
  <xdr:oneCellAnchor editAs="oneCell">
    <xdr:from>
      <xdr:col>41</xdr:col>
      <xdr:colOff>42624</xdr:colOff>
      <xdr:row>65</xdr:row>
      <xdr:rowOff>22655</xdr:rowOff>
    </xdr:from>
    <xdr:ext cx="647700" cy="219075"/>
    <xdr:pic>
      <xdr:nvPicPr>
        <xdr:cNvPr id="147" name="Picture 1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7" cstate="print"/>
        <a:stretch>
          <a:fillRect/>
        </a:stretch>
      </xdr:blipFill>
      <xdr:spPr>
        <a:xfrm>
          <a:off x="0" y="0"/>
          <a:ext cx="0" cy="0"/>
        </a:xfrm>
        <a:prstGeom prst="rect">
          <a:avLst/>
        </a:prstGeom>
      </xdr:spPr>
    </xdr:pic>
    <xdr:clientData/>
  </xdr:oneCellAnchor>
  <xdr:oneCellAnchor editAs="oneCell">
    <xdr:from>
      <xdr:col>7</xdr:col>
      <xdr:colOff>43686</xdr:colOff>
      <xdr:row>66</xdr:row>
      <xdr:rowOff>22655</xdr:rowOff>
    </xdr:from>
    <xdr:ext cx="257175" cy="219075"/>
    <xdr:pic>
      <xdr:nvPicPr>
        <xdr:cNvPr id="148" name="Picture 1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8" cstate="print"/>
        <a:stretch>
          <a:fillRect/>
        </a:stretch>
      </xdr:blipFill>
      <xdr:spPr>
        <a:xfrm>
          <a:off x="0" y="0"/>
          <a:ext cx="0" cy="0"/>
        </a:xfrm>
        <a:prstGeom prst="rect">
          <a:avLst/>
        </a:prstGeom>
      </xdr:spPr>
    </xdr:pic>
    <xdr:clientData/>
  </xdr:oneCellAnchor>
  <xdr:oneCellAnchor editAs="oneCell">
    <xdr:from>
      <xdr:col>8</xdr:col>
      <xdr:colOff>43686</xdr:colOff>
      <xdr:row>66</xdr:row>
      <xdr:rowOff>22655</xdr:rowOff>
    </xdr:from>
    <xdr:ext cx="257175" cy="219075"/>
    <xdr:pic>
      <xdr:nvPicPr>
        <xdr:cNvPr id="149" name="Picture 1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9" cstate="print"/>
        <a:stretch>
          <a:fillRect/>
        </a:stretch>
      </xdr:blipFill>
      <xdr:spPr>
        <a:xfrm>
          <a:off x="0" y="0"/>
          <a:ext cx="0" cy="0"/>
        </a:xfrm>
        <a:prstGeom prst="rect">
          <a:avLst/>
        </a:prstGeom>
      </xdr:spPr>
    </xdr:pic>
    <xdr:clientData/>
  </xdr:oneCellAnchor>
  <xdr:oneCellAnchor editAs="oneCell">
    <xdr:from>
      <xdr:col>9</xdr:col>
      <xdr:colOff>43686</xdr:colOff>
      <xdr:row>66</xdr:row>
      <xdr:rowOff>22655</xdr:rowOff>
    </xdr:from>
    <xdr:ext cx="257175" cy="219075"/>
    <xdr:pic>
      <xdr:nvPicPr>
        <xdr:cNvPr id="150" name="Picture 1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0" cstate="print"/>
        <a:stretch>
          <a:fillRect/>
        </a:stretch>
      </xdr:blipFill>
      <xdr:spPr>
        <a:xfrm>
          <a:off x="0" y="0"/>
          <a:ext cx="0" cy="0"/>
        </a:xfrm>
        <a:prstGeom prst="rect">
          <a:avLst/>
        </a:prstGeom>
      </xdr:spPr>
    </xdr:pic>
    <xdr:clientData/>
  </xdr:oneCellAnchor>
  <xdr:oneCellAnchor editAs="oneCell">
    <xdr:from>
      <xdr:col>10</xdr:col>
      <xdr:colOff>43686</xdr:colOff>
      <xdr:row>66</xdr:row>
      <xdr:rowOff>22655</xdr:rowOff>
    </xdr:from>
    <xdr:ext cx="257175" cy="219075"/>
    <xdr:pic>
      <xdr:nvPicPr>
        <xdr:cNvPr id="151" name="Picture 1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1" cstate="print"/>
        <a:stretch>
          <a:fillRect/>
        </a:stretch>
      </xdr:blipFill>
      <xdr:spPr>
        <a:xfrm>
          <a:off x="0" y="0"/>
          <a:ext cx="0" cy="0"/>
        </a:xfrm>
        <a:prstGeom prst="rect">
          <a:avLst/>
        </a:prstGeom>
      </xdr:spPr>
    </xdr:pic>
    <xdr:clientData/>
  </xdr:oneCellAnchor>
  <xdr:oneCellAnchor editAs="oneCell">
    <xdr:from>
      <xdr:col>11</xdr:col>
      <xdr:colOff>43686</xdr:colOff>
      <xdr:row>66</xdr:row>
      <xdr:rowOff>22655</xdr:rowOff>
    </xdr:from>
    <xdr:ext cx="257175" cy="219075"/>
    <xdr:pic>
      <xdr:nvPicPr>
        <xdr:cNvPr id="152" name="Picture 1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2" cstate="print"/>
        <a:stretch>
          <a:fillRect/>
        </a:stretch>
      </xdr:blipFill>
      <xdr:spPr>
        <a:xfrm>
          <a:off x="0" y="0"/>
          <a:ext cx="0" cy="0"/>
        </a:xfrm>
        <a:prstGeom prst="rect">
          <a:avLst/>
        </a:prstGeom>
      </xdr:spPr>
    </xdr:pic>
    <xdr:clientData/>
  </xdr:oneCellAnchor>
  <xdr:oneCellAnchor editAs="oneCell">
    <xdr:from>
      <xdr:col>12</xdr:col>
      <xdr:colOff>43686</xdr:colOff>
      <xdr:row>66</xdr:row>
      <xdr:rowOff>22655</xdr:rowOff>
    </xdr:from>
    <xdr:ext cx="257175" cy="219075"/>
    <xdr:pic>
      <xdr:nvPicPr>
        <xdr:cNvPr id="153" name="Picture 1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3" cstate="print"/>
        <a:stretch>
          <a:fillRect/>
        </a:stretch>
      </xdr:blipFill>
      <xdr:spPr>
        <a:xfrm>
          <a:off x="0" y="0"/>
          <a:ext cx="0" cy="0"/>
        </a:xfrm>
        <a:prstGeom prst="rect">
          <a:avLst/>
        </a:prstGeom>
      </xdr:spPr>
    </xdr:pic>
    <xdr:clientData/>
  </xdr:oneCellAnchor>
  <xdr:oneCellAnchor editAs="oneCell">
    <xdr:from>
      <xdr:col>13</xdr:col>
      <xdr:colOff>43686</xdr:colOff>
      <xdr:row>66</xdr:row>
      <xdr:rowOff>22655</xdr:rowOff>
    </xdr:from>
    <xdr:ext cx="257175" cy="219075"/>
    <xdr:pic>
      <xdr:nvPicPr>
        <xdr:cNvPr id="154" name="Picture 1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4" cstate="print"/>
        <a:stretch>
          <a:fillRect/>
        </a:stretch>
      </xdr:blipFill>
      <xdr:spPr>
        <a:xfrm>
          <a:off x="0" y="0"/>
          <a:ext cx="0" cy="0"/>
        </a:xfrm>
        <a:prstGeom prst="rect">
          <a:avLst/>
        </a:prstGeom>
      </xdr:spPr>
    </xdr:pic>
    <xdr:clientData/>
  </xdr:oneCellAnchor>
  <xdr:oneCellAnchor editAs="oneCell">
    <xdr:from>
      <xdr:col>14</xdr:col>
      <xdr:colOff>43686</xdr:colOff>
      <xdr:row>66</xdr:row>
      <xdr:rowOff>22655</xdr:rowOff>
    </xdr:from>
    <xdr:ext cx="257175" cy="219075"/>
    <xdr:pic>
      <xdr:nvPicPr>
        <xdr:cNvPr id="155" name="Picture 1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5" cstate="print"/>
        <a:stretch>
          <a:fillRect/>
        </a:stretch>
      </xdr:blipFill>
      <xdr:spPr>
        <a:xfrm>
          <a:off x="0" y="0"/>
          <a:ext cx="0" cy="0"/>
        </a:xfrm>
        <a:prstGeom prst="rect">
          <a:avLst/>
        </a:prstGeom>
      </xdr:spPr>
    </xdr:pic>
    <xdr:clientData/>
  </xdr:oneCellAnchor>
  <xdr:oneCellAnchor editAs="oneCell">
    <xdr:from>
      <xdr:col>15</xdr:col>
      <xdr:colOff>43686</xdr:colOff>
      <xdr:row>66</xdr:row>
      <xdr:rowOff>22655</xdr:rowOff>
    </xdr:from>
    <xdr:ext cx="257175" cy="219075"/>
    <xdr:pic>
      <xdr:nvPicPr>
        <xdr:cNvPr id="156" name="Picture 1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6" cstate="print"/>
        <a:stretch>
          <a:fillRect/>
        </a:stretch>
      </xdr:blipFill>
      <xdr:spPr>
        <a:xfrm>
          <a:off x="0" y="0"/>
          <a:ext cx="0" cy="0"/>
        </a:xfrm>
        <a:prstGeom prst="rect">
          <a:avLst/>
        </a:prstGeom>
      </xdr:spPr>
    </xdr:pic>
    <xdr:clientData/>
  </xdr:oneCellAnchor>
  <xdr:oneCellAnchor editAs="oneCell">
    <xdr:from>
      <xdr:col>16</xdr:col>
      <xdr:colOff>43686</xdr:colOff>
      <xdr:row>66</xdr:row>
      <xdr:rowOff>22655</xdr:rowOff>
    </xdr:from>
    <xdr:ext cx="257175" cy="219075"/>
    <xdr:pic>
      <xdr:nvPicPr>
        <xdr:cNvPr id="157" name="Picture 1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7" cstate="print"/>
        <a:stretch>
          <a:fillRect/>
        </a:stretch>
      </xdr:blipFill>
      <xdr:spPr>
        <a:xfrm>
          <a:off x="0" y="0"/>
          <a:ext cx="0" cy="0"/>
        </a:xfrm>
        <a:prstGeom prst="rect">
          <a:avLst/>
        </a:prstGeom>
      </xdr:spPr>
    </xdr:pic>
    <xdr:clientData/>
  </xdr:oneCellAnchor>
  <xdr:oneCellAnchor editAs="oneCell">
    <xdr:from>
      <xdr:col>17</xdr:col>
      <xdr:colOff>43686</xdr:colOff>
      <xdr:row>66</xdr:row>
      <xdr:rowOff>22655</xdr:rowOff>
    </xdr:from>
    <xdr:ext cx="257175" cy="219075"/>
    <xdr:pic>
      <xdr:nvPicPr>
        <xdr:cNvPr id="158" name="Picture 1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8" cstate="print"/>
        <a:stretch>
          <a:fillRect/>
        </a:stretch>
      </xdr:blipFill>
      <xdr:spPr>
        <a:xfrm>
          <a:off x="0" y="0"/>
          <a:ext cx="0" cy="0"/>
        </a:xfrm>
        <a:prstGeom prst="rect">
          <a:avLst/>
        </a:prstGeom>
      </xdr:spPr>
    </xdr:pic>
    <xdr:clientData/>
  </xdr:oneCellAnchor>
  <xdr:oneCellAnchor editAs="oneCell">
    <xdr:from>
      <xdr:col>18</xdr:col>
      <xdr:colOff>43686</xdr:colOff>
      <xdr:row>66</xdr:row>
      <xdr:rowOff>22655</xdr:rowOff>
    </xdr:from>
    <xdr:ext cx="257175" cy="219075"/>
    <xdr:pic>
      <xdr:nvPicPr>
        <xdr:cNvPr id="159" name="Picture 1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9" cstate="print"/>
        <a:stretch>
          <a:fillRect/>
        </a:stretch>
      </xdr:blipFill>
      <xdr:spPr>
        <a:xfrm>
          <a:off x="0" y="0"/>
          <a:ext cx="0" cy="0"/>
        </a:xfrm>
        <a:prstGeom prst="rect">
          <a:avLst/>
        </a:prstGeom>
      </xdr:spPr>
    </xdr:pic>
    <xdr:clientData/>
  </xdr:oneCellAnchor>
  <xdr:oneCellAnchor editAs="oneCell">
    <xdr:from>
      <xdr:col>19</xdr:col>
      <xdr:colOff>43686</xdr:colOff>
      <xdr:row>66</xdr:row>
      <xdr:rowOff>22655</xdr:rowOff>
    </xdr:from>
    <xdr:ext cx="257175" cy="219075"/>
    <xdr:pic>
      <xdr:nvPicPr>
        <xdr:cNvPr id="160" name="Picture 1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0" cstate="print"/>
        <a:stretch>
          <a:fillRect/>
        </a:stretch>
      </xdr:blipFill>
      <xdr:spPr>
        <a:xfrm>
          <a:off x="0" y="0"/>
          <a:ext cx="0" cy="0"/>
        </a:xfrm>
        <a:prstGeom prst="rect">
          <a:avLst/>
        </a:prstGeom>
      </xdr:spPr>
    </xdr:pic>
    <xdr:clientData/>
  </xdr:oneCellAnchor>
  <xdr:oneCellAnchor editAs="oneCell">
    <xdr:from>
      <xdr:col>20</xdr:col>
      <xdr:colOff>43686</xdr:colOff>
      <xdr:row>66</xdr:row>
      <xdr:rowOff>22655</xdr:rowOff>
    </xdr:from>
    <xdr:ext cx="257175" cy="219075"/>
    <xdr:pic>
      <xdr:nvPicPr>
        <xdr:cNvPr id="161" name="Picture 1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1" cstate="print"/>
        <a:stretch>
          <a:fillRect/>
        </a:stretch>
      </xdr:blipFill>
      <xdr:spPr>
        <a:xfrm>
          <a:off x="0" y="0"/>
          <a:ext cx="0" cy="0"/>
        </a:xfrm>
        <a:prstGeom prst="rect">
          <a:avLst/>
        </a:prstGeom>
      </xdr:spPr>
    </xdr:pic>
    <xdr:clientData/>
  </xdr:oneCellAnchor>
  <xdr:oneCellAnchor editAs="oneCell">
    <xdr:from>
      <xdr:col>21</xdr:col>
      <xdr:colOff>43686</xdr:colOff>
      <xdr:row>66</xdr:row>
      <xdr:rowOff>22655</xdr:rowOff>
    </xdr:from>
    <xdr:ext cx="257175" cy="219075"/>
    <xdr:pic>
      <xdr:nvPicPr>
        <xdr:cNvPr id="162" name="Picture 1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2" cstate="print"/>
        <a:stretch>
          <a:fillRect/>
        </a:stretch>
      </xdr:blipFill>
      <xdr:spPr>
        <a:xfrm>
          <a:off x="0" y="0"/>
          <a:ext cx="0" cy="0"/>
        </a:xfrm>
        <a:prstGeom prst="rect">
          <a:avLst/>
        </a:prstGeom>
      </xdr:spPr>
    </xdr:pic>
    <xdr:clientData/>
  </xdr:oneCellAnchor>
  <xdr:oneCellAnchor editAs="oneCell">
    <xdr:from>
      <xdr:col>22</xdr:col>
      <xdr:colOff>43686</xdr:colOff>
      <xdr:row>66</xdr:row>
      <xdr:rowOff>22655</xdr:rowOff>
    </xdr:from>
    <xdr:ext cx="257175" cy="219075"/>
    <xdr:pic>
      <xdr:nvPicPr>
        <xdr:cNvPr id="163" name="Picture 1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3" cstate="print"/>
        <a:stretch>
          <a:fillRect/>
        </a:stretch>
      </xdr:blipFill>
      <xdr:spPr>
        <a:xfrm>
          <a:off x="0" y="0"/>
          <a:ext cx="0" cy="0"/>
        </a:xfrm>
        <a:prstGeom prst="rect">
          <a:avLst/>
        </a:prstGeom>
      </xdr:spPr>
    </xdr:pic>
    <xdr:clientData/>
  </xdr:oneCellAnchor>
  <xdr:oneCellAnchor editAs="oneCell">
    <xdr:from>
      <xdr:col>23</xdr:col>
      <xdr:colOff>43686</xdr:colOff>
      <xdr:row>66</xdr:row>
      <xdr:rowOff>22655</xdr:rowOff>
    </xdr:from>
    <xdr:ext cx="257175" cy="219075"/>
    <xdr:pic>
      <xdr:nvPicPr>
        <xdr:cNvPr id="164" name="Picture 1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4" cstate="print"/>
        <a:stretch>
          <a:fillRect/>
        </a:stretch>
      </xdr:blipFill>
      <xdr:spPr>
        <a:xfrm>
          <a:off x="0" y="0"/>
          <a:ext cx="0" cy="0"/>
        </a:xfrm>
        <a:prstGeom prst="rect">
          <a:avLst/>
        </a:prstGeom>
      </xdr:spPr>
    </xdr:pic>
    <xdr:clientData/>
  </xdr:oneCellAnchor>
  <xdr:oneCellAnchor editAs="oneCell">
    <xdr:from>
      <xdr:col>24</xdr:col>
      <xdr:colOff>43686</xdr:colOff>
      <xdr:row>66</xdr:row>
      <xdr:rowOff>22655</xdr:rowOff>
    </xdr:from>
    <xdr:ext cx="257175" cy="219075"/>
    <xdr:pic>
      <xdr:nvPicPr>
        <xdr:cNvPr id="165" name="Picture 1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5" cstate="print"/>
        <a:stretch>
          <a:fillRect/>
        </a:stretch>
      </xdr:blipFill>
      <xdr:spPr>
        <a:xfrm>
          <a:off x="0" y="0"/>
          <a:ext cx="0" cy="0"/>
        </a:xfrm>
        <a:prstGeom prst="rect">
          <a:avLst/>
        </a:prstGeom>
      </xdr:spPr>
    </xdr:pic>
    <xdr:clientData/>
  </xdr:oneCellAnchor>
  <xdr:oneCellAnchor editAs="oneCell">
    <xdr:from>
      <xdr:col>25</xdr:col>
      <xdr:colOff>43686</xdr:colOff>
      <xdr:row>66</xdr:row>
      <xdr:rowOff>22655</xdr:rowOff>
    </xdr:from>
    <xdr:ext cx="257175" cy="219075"/>
    <xdr:pic>
      <xdr:nvPicPr>
        <xdr:cNvPr id="166" name="Picture 1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6" cstate="print"/>
        <a:stretch>
          <a:fillRect/>
        </a:stretch>
      </xdr:blipFill>
      <xdr:spPr>
        <a:xfrm>
          <a:off x="0" y="0"/>
          <a:ext cx="0" cy="0"/>
        </a:xfrm>
        <a:prstGeom prst="rect">
          <a:avLst/>
        </a:prstGeom>
      </xdr:spPr>
    </xdr:pic>
    <xdr:clientData/>
  </xdr:oneCellAnchor>
  <xdr:oneCellAnchor editAs="oneCell">
    <xdr:from>
      <xdr:col>26</xdr:col>
      <xdr:colOff>43686</xdr:colOff>
      <xdr:row>66</xdr:row>
      <xdr:rowOff>22655</xdr:rowOff>
    </xdr:from>
    <xdr:ext cx="257175" cy="219075"/>
    <xdr:pic>
      <xdr:nvPicPr>
        <xdr:cNvPr id="167" name="Picture 1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7" cstate="print"/>
        <a:stretch>
          <a:fillRect/>
        </a:stretch>
      </xdr:blipFill>
      <xdr:spPr>
        <a:xfrm>
          <a:off x="0" y="0"/>
          <a:ext cx="0" cy="0"/>
        </a:xfrm>
        <a:prstGeom prst="rect">
          <a:avLst/>
        </a:prstGeom>
      </xdr:spPr>
    </xdr:pic>
    <xdr:clientData/>
  </xdr:oneCellAnchor>
  <xdr:oneCellAnchor editAs="oneCell">
    <xdr:from>
      <xdr:col>27</xdr:col>
      <xdr:colOff>43686</xdr:colOff>
      <xdr:row>66</xdr:row>
      <xdr:rowOff>22655</xdr:rowOff>
    </xdr:from>
    <xdr:ext cx="257175" cy="219075"/>
    <xdr:pic>
      <xdr:nvPicPr>
        <xdr:cNvPr id="168" name="Picture 1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8" cstate="print"/>
        <a:stretch>
          <a:fillRect/>
        </a:stretch>
      </xdr:blipFill>
      <xdr:spPr>
        <a:xfrm>
          <a:off x="0" y="0"/>
          <a:ext cx="0" cy="0"/>
        </a:xfrm>
        <a:prstGeom prst="rect">
          <a:avLst/>
        </a:prstGeom>
      </xdr:spPr>
    </xdr:pic>
    <xdr:clientData/>
  </xdr:oneCellAnchor>
  <xdr:oneCellAnchor editAs="oneCell">
    <xdr:from>
      <xdr:col>28</xdr:col>
      <xdr:colOff>43686</xdr:colOff>
      <xdr:row>66</xdr:row>
      <xdr:rowOff>22655</xdr:rowOff>
    </xdr:from>
    <xdr:ext cx="257175" cy="219075"/>
    <xdr:pic>
      <xdr:nvPicPr>
        <xdr:cNvPr id="169" name="Picture 1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9" cstate="print"/>
        <a:stretch>
          <a:fillRect/>
        </a:stretch>
      </xdr:blipFill>
      <xdr:spPr>
        <a:xfrm>
          <a:off x="0" y="0"/>
          <a:ext cx="0" cy="0"/>
        </a:xfrm>
        <a:prstGeom prst="rect">
          <a:avLst/>
        </a:prstGeom>
      </xdr:spPr>
    </xdr:pic>
    <xdr:clientData/>
  </xdr:oneCellAnchor>
  <xdr:oneCellAnchor editAs="oneCell">
    <xdr:from>
      <xdr:col>29</xdr:col>
      <xdr:colOff>43686</xdr:colOff>
      <xdr:row>66</xdr:row>
      <xdr:rowOff>22655</xdr:rowOff>
    </xdr:from>
    <xdr:ext cx="257175" cy="219075"/>
    <xdr:pic>
      <xdr:nvPicPr>
        <xdr:cNvPr id="170" name="Picture 1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0" cstate="print"/>
        <a:stretch>
          <a:fillRect/>
        </a:stretch>
      </xdr:blipFill>
      <xdr:spPr>
        <a:xfrm>
          <a:off x="0" y="0"/>
          <a:ext cx="0" cy="0"/>
        </a:xfrm>
        <a:prstGeom prst="rect">
          <a:avLst/>
        </a:prstGeom>
      </xdr:spPr>
    </xdr:pic>
    <xdr:clientData/>
  </xdr:oneCellAnchor>
  <xdr:oneCellAnchor editAs="oneCell">
    <xdr:from>
      <xdr:col>41</xdr:col>
      <xdr:colOff>42624</xdr:colOff>
      <xdr:row>66</xdr:row>
      <xdr:rowOff>22655</xdr:rowOff>
    </xdr:from>
    <xdr:ext cx="647700" cy="219075"/>
    <xdr:pic>
      <xdr:nvPicPr>
        <xdr:cNvPr id="171" name="Picture 1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1" cstate="print"/>
        <a:stretch>
          <a:fillRect/>
        </a:stretch>
      </xdr:blipFill>
      <xdr:spPr>
        <a:xfrm>
          <a:off x="0" y="0"/>
          <a:ext cx="0" cy="0"/>
        </a:xfrm>
        <a:prstGeom prst="rect">
          <a:avLst/>
        </a:prstGeom>
      </xdr:spPr>
    </xdr:pic>
    <xdr:clientData/>
  </xdr:oneCellAnchor>
  <xdr:oneCellAnchor editAs="oneCell">
    <xdr:from>
      <xdr:col>7</xdr:col>
      <xdr:colOff>43686</xdr:colOff>
      <xdr:row>67</xdr:row>
      <xdr:rowOff>22655</xdr:rowOff>
    </xdr:from>
    <xdr:ext cx="257175" cy="219075"/>
    <xdr:pic>
      <xdr:nvPicPr>
        <xdr:cNvPr id="172" name="Picture 1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2" cstate="print"/>
        <a:stretch>
          <a:fillRect/>
        </a:stretch>
      </xdr:blipFill>
      <xdr:spPr>
        <a:xfrm>
          <a:off x="0" y="0"/>
          <a:ext cx="0" cy="0"/>
        </a:xfrm>
        <a:prstGeom prst="rect">
          <a:avLst/>
        </a:prstGeom>
      </xdr:spPr>
    </xdr:pic>
    <xdr:clientData/>
  </xdr:oneCellAnchor>
  <xdr:oneCellAnchor editAs="oneCell">
    <xdr:from>
      <xdr:col>8</xdr:col>
      <xdr:colOff>43686</xdr:colOff>
      <xdr:row>67</xdr:row>
      <xdr:rowOff>22655</xdr:rowOff>
    </xdr:from>
    <xdr:ext cx="257175" cy="219075"/>
    <xdr:pic>
      <xdr:nvPicPr>
        <xdr:cNvPr id="173" name="Picture 1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3" cstate="print"/>
        <a:stretch>
          <a:fillRect/>
        </a:stretch>
      </xdr:blipFill>
      <xdr:spPr>
        <a:xfrm>
          <a:off x="0" y="0"/>
          <a:ext cx="0" cy="0"/>
        </a:xfrm>
        <a:prstGeom prst="rect">
          <a:avLst/>
        </a:prstGeom>
      </xdr:spPr>
    </xdr:pic>
    <xdr:clientData/>
  </xdr:oneCellAnchor>
  <xdr:oneCellAnchor editAs="oneCell">
    <xdr:from>
      <xdr:col>9</xdr:col>
      <xdr:colOff>43686</xdr:colOff>
      <xdr:row>67</xdr:row>
      <xdr:rowOff>22655</xdr:rowOff>
    </xdr:from>
    <xdr:ext cx="257175" cy="219075"/>
    <xdr:pic>
      <xdr:nvPicPr>
        <xdr:cNvPr id="174" name="Picture 1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4" cstate="print"/>
        <a:stretch>
          <a:fillRect/>
        </a:stretch>
      </xdr:blipFill>
      <xdr:spPr>
        <a:xfrm>
          <a:off x="0" y="0"/>
          <a:ext cx="0" cy="0"/>
        </a:xfrm>
        <a:prstGeom prst="rect">
          <a:avLst/>
        </a:prstGeom>
      </xdr:spPr>
    </xdr:pic>
    <xdr:clientData/>
  </xdr:oneCellAnchor>
  <xdr:oneCellAnchor editAs="oneCell">
    <xdr:from>
      <xdr:col>10</xdr:col>
      <xdr:colOff>43686</xdr:colOff>
      <xdr:row>67</xdr:row>
      <xdr:rowOff>22655</xdr:rowOff>
    </xdr:from>
    <xdr:ext cx="257175" cy="219075"/>
    <xdr:pic>
      <xdr:nvPicPr>
        <xdr:cNvPr id="175" name="Picture 1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5" cstate="print"/>
        <a:stretch>
          <a:fillRect/>
        </a:stretch>
      </xdr:blipFill>
      <xdr:spPr>
        <a:xfrm>
          <a:off x="0" y="0"/>
          <a:ext cx="0" cy="0"/>
        </a:xfrm>
        <a:prstGeom prst="rect">
          <a:avLst/>
        </a:prstGeom>
      </xdr:spPr>
    </xdr:pic>
    <xdr:clientData/>
  </xdr:oneCellAnchor>
  <xdr:oneCellAnchor editAs="oneCell">
    <xdr:from>
      <xdr:col>11</xdr:col>
      <xdr:colOff>43686</xdr:colOff>
      <xdr:row>67</xdr:row>
      <xdr:rowOff>22655</xdr:rowOff>
    </xdr:from>
    <xdr:ext cx="257175" cy="219075"/>
    <xdr:pic>
      <xdr:nvPicPr>
        <xdr:cNvPr id="176" name="Picture 1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6" cstate="print"/>
        <a:stretch>
          <a:fillRect/>
        </a:stretch>
      </xdr:blipFill>
      <xdr:spPr>
        <a:xfrm>
          <a:off x="0" y="0"/>
          <a:ext cx="0" cy="0"/>
        </a:xfrm>
        <a:prstGeom prst="rect">
          <a:avLst/>
        </a:prstGeom>
      </xdr:spPr>
    </xdr:pic>
    <xdr:clientData/>
  </xdr:oneCellAnchor>
  <xdr:oneCellAnchor editAs="oneCell">
    <xdr:from>
      <xdr:col>12</xdr:col>
      <xdr:colOff>43686</xdr:colOff>
      <xdr:row>67</xdr:row>
      <xdr:rowOff>22655</xdr:rowOff>
    </xdr:from>
    <xdr:ext cx="257175" cy="219075"/>
    <xdr:pic>
      <xdr:nvPicPr>
        <xdr:cNvPr id="177" name="Picture 1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7" cstate="print"/>
        <a:stretch>
          <a:fillRect/>
        </a:stretch>
      </xdr:blipFill>
      <xdr:spPr>
        <a:xfrm>
          <a:off x="0" y="0"/>
          <a:ext cx="0" cy="0"/>
        </a:xfrm>
        <a:prstGeom prst="rect">
          <a:avLst/>
        </a:prstGeom>
      </xdr:spPr>
    </xdr:pic>
    <xdr:clientData/>
  </xdr:oneCellAnchor>
  <xdr:oneCellAnchor editAs="oneCell">
    <xdr:from>
      <xdr:col>13</xdr:col>
      <xdr:colOff>43686</xdr:colOff>
      <xdr:row>67</xdr:row>
      <xdr:rowOff>22655</xdr:rowOff>
    </xdr:from>
    <xdr:ext cx="257175" cy="219075"/>
    <xdr:pic>
      <xdr:nvPicPr>
        <xdr:cNvPr id="178" name="Picture 1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8" cstate="print"/>
        <a:stretch>
          <a:fillRect/>
        </a:stretch>
      </xdr:blipFill>
      <xdr:spPr>
        <a:xfrm>
          <a:off x="0" y="0"/>
          <a:ext cx="0" cy="0"/>
        </a:xfrm>
        <a:prstGeom prst="rect">
          <a:avLst/>
        </a:prstGeom>
      </xdr:spPr>
    </xdr:pic>
    <xdr:clientData/>
  </xdr:oneCellAnchor>
  <xdr:oneCellAnchor editAs="oneCell">
    <xdr:from>
      <xdr:col>14</xdr:col>
      <xdr:colOff>43686</xdr:colOff>
      <xdr:row>67</xdr:row>
      <xdr:rowOff>22655</xdr:rowOff>
    </xdr:from>
    <xdr:ext cx="257175" cy="219075"/>
    <xdr:pic>
      <xdr:nvPicPr>
        <xdr:cNvPr id="179" name="Picture 1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9" cstate="print"/>
        <a:stretch>
          <a:fillRect/>
        </a:stretch>
      </xdr:blipFill>
      <xdr:spPr>
        <a:xfrm>
          <a:off x="0" y="0"/>
          <a:ext cx="0" cy="0"/>
        </a:xfrm>
        <a:prstGeom prst="rect">
          <a:avLst/>
        </a:prstGeom>
      </xdr:spPr>
    </xdr:pic>
    <xdr:clientData/>
  </xdr:oneCellAnchor>
  <xdr:oneCellAnchor editAs="oneCell">
    <xdr:from>
      <xdr:col>15</xdr:col>
      <xdr:colOff>43686</xdr:colOff>
      <xdr:row>67</xdr:row>
      <xdr:rowOff>22655</xdr:rowOff>
    </xdr:from>
    <xdr:ext cx="257175" cy="219075"/>
    <xdr:pic>
      <xdr:nvPicPr>
        <xdr:cNvPr id="180" name="Picture 1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0" cstate="print"/>
        <a:stretch>
          <a:fillRect/>
        </a:stretch>
      </xdr:blipFill>
      <xdr:spPr>
        <a:xfrm>
          <a:off x="0" y="0"/>
          <a:ext cx="0" cy="0"/>
        </a:xfrm>
        <a:prstGeom prst="rect">
          <a:avLst/>
        </a:prstGeom>
      </xdr:spPr>
    </xdr:pic>
    <xdr:clientData/>
  </xdr:oneCellAnchor>
  <xdr:oneCellAnchor editAs="oneCell">
    <xdr:from>
      <xdr:col>16</xdr:col>
      <xdr:colOff>43686</xdr:colOff>
      <xdr:row>67</xdr:row>
      <xdr:rowOff>22655</xdr:rowOff>
    </xdr:from>
    <xdr:ext cx="257175" cy="219075"/>
    <xdr:pic>
      <xdr:nvPicPr>
        <xdr:cNvPr id="181" name="Picture 1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1" cstate="print"/>
        <a:stretch>
          <a:fillRect/>
        </a:stretch>
      </xdr:blipFill>
      <xdr:spPr>
        <a:xfrm>
          <a:off x="0" y="0"/>
          <a:ext cx="0" cy="0"/>
        </a:xfrm>
        <a:prstGeom prst="rect">
          <a:avLst/>
        </a:prstGeom>
      </xdr:spPr>
    </xdr:pic>
    <xdr:clientData/>
  </xdr:oneCellAnchor>
  <xdr:oneCellAnchor editAs="oneCell">
    <xdr:from>
      <xdr:col>17</xdr:col>
      <xdr:colOff>43686</xdr:colOff>
      <xdr:row>67</xdr:row>
      <xdr:rowOff>22655</xdr:rowOff>
    </xdr:from>
    <xdr:ext cx="257175" cy="219075"/>
    <xdr:pic>
      <xdr:nvPicPr>
        <xdr:cNvPr id="182" name="Picture 1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2" cstate="print"/>
        <a:stretch>
          <a:fillRect/>
        </a:stretch>
      </xdr:blipFill>
      <xdr:spPr>
        <a:xfrm>
          <a:off x="0" y="0"/>
          <a:ext cx="0" cy="0"/>
        </a:xfrm>
        <a:prstGeom prst="rect">
          <a:avLst/>
        </a:prstGeom>
      </xdr:spPr>
    </xdr:pic>
    <xdr:clientData/>
  </xdr:oneCellAnchor>
  <xdr:oneCellAnchor editAs="oneCell">
    <xdr:from>
      <xdr:col>18</xdr:col>
      <xdr:colOff>43686</xdr:colOff>
      <xdr:row>67</xdr:row>
      <xdr:rowOff>22655</xdr:rowOff>
    </xdr:from>
    <xdr:ext cx="257175" cy="219075"/>
    <xdr:pic>
      <xdr:nvPicPr>
        <xdr:cNvPr id="183" name="Picture 1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3" cstate="print"/>
        <a:stretch>
          <a:fillRect/>
        </a:stretch>
      </xdr:blipFill>
      <xdr:spPr>
        <a:xfrm>
          <a:off x="0" y="0"/>
          <a:ext cx="0" cy="0"/>
        </a:xfrm>
        <a:prstGeom prst="rect">
          <a:avLst/>
        </a:prstGeom>
      </xdr:spPr>
    </xdr:pic>
    <xdr:clientData/>
  </xdr:oneCellAnchor>
  <xdr:oneCellAnchor editAs="oneCell">
    <xdr:from>
      <xdr:col>19</xdr:col>
      <xdr:colOff>43686</xdr:colOff>
      <xdr:row>67</xdr:row>
      <xdr:rowOff>22655</xdr:rowOff>
    </xdr:from>
    <xdr:ext cx="257175" cy="219075"/>
    <xdr:pic>
      <xdr:nvPicPr>
        <xdr:cNvPr id="184" name="Picture 1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4" cstate="print"/>
        <a:stretch>
          <a:fillRect/>
        </a:stretch>
      </xdr:blipFill>
      <xdr:spPr>
        <a:xfrm>
          <a:off x="0" y="0"/>
          <a:ext cx="0" cy="0"/>
        </a:xfrm>
        <a:prstGeom prst="rect">
          <a:avLst/>
        </a:prstGeom>
      </xdr:spPr>
    </xdr:pic>
    <xdr:clientData/>
  </xdr:oneCellAnchor>
  <xdr:oneCellAnchor editAs="oneCell">
    <xdr:from>
      <xdr:col>20</xdr:col>
      <xdr:colOff>43686</xdr:colOff>
      <xdr:row>67</xdr:row>
      <xdr:rowOff>22655</xdr:rowOff>
    </xdr:from>
    <xdr:ext cx="257175" cy="219075"/>
    <xdr:pic>
      <xdr:nvPicPr>
        <xdr:cNvPr id="185" name="Picture 1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5" cstate="print"/>
        <a:stretch>
          <a:fillRect/>
        </a:stretch>
      </xdr:blipFill>
      <xdr:spPr>
        <a:xfrm>
          <a:off x="0" y="0"/>
          <a:ext cx="0" cy="0"/>
        </a:xfrm>
        <a:prstGeom prst="rect">
          <a:avLst/>
        </a:prstGeom>
      </xdr:spPr>
    </xdr:pic>
    <xdr:clientData/>
  </xdr:oneCellAnchor>
  <xdr:oneCellAnchor editAs="oneCell">
    <xdr:from>
      <xdr:col>21</xdr:col>
      <xdr:colOff>43686</xdr:colOff>
      <xdr:row>67</xdr:row>
      <xdr:rowOff>22655</xdr:rowOff>
    </xdr:from>
    <xdr:ext cx="257175" cy="219075"/>
    <xdr:pic>
      <xdr:nvPicPr>
        <xdr:cNvPr id="186" name="Picture 1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6" cstate="print"/>
        <a:stretch>
          <a:fillRect/>
        </a:stretch>
      </xdr:blipFill>
      <xdr:spPr>
        <a:xfrm>
          <a:off x="0" y="0"/>
          <a:ext cx="0" cy="0"/>
        </a:xfrm>
        <a:prstGeom prst="rect">
          <a:avLst/>
        </a:prstGeom>
      </xdr:spPr>
    </xdr:pic>
    <xdr:clientData/>
  </xdr:oneCellAnchor>
  <xdr:oneCellAnchor editAs="oneCell">
    <xdr:from>
      <xdr:col>22</xdr:col>
      <xdr:colOff>43686</xdr:colOff>
      <xdr:row>67</xdr:row>
      <xdr:rowOff>22655</xdr:rowOff>
    </xdr:from>
    <xdr:ext cx="257175" cy="219075"/>
    <xdr:pic>
      <xdr:nvPicPr>
        <xdr:cNvPr id="187" name="Picture 1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7" cstate="print"/>
        <a:stretch>
          <a:fillRect/>
        </a:stretch>
      </xdr:blipFill>
      <xdr:spPr>
        <a:xfrm>
          <a:off x="0" y="0"/>
          <a:ext cx="0" cy="0"/>
        </a:xfrm>
        <a:prstGeom prst="rect">
          <a:avLst/>
        </a:prstGeom>
      </xdr:spPr>
    </xdr:pic>
    <xdr:clientData/>
  </xdr:oneCellAnchor>
  <xdr:oneCellAnchor editAs="oneCell">
    <xdr:from>
      <xdr:col>24</xdr:col>
      <xdr:colOff>7412</xdr:colOff>
      <xdr:row>67</xdr:row>
      <xdr:rowOff>26280</xdr:rowOff>
    </xdr:from>
    <xdr:ext cx="285750" cy="228600"/>
    <xdr:pic>
      <xdr:nvPicPr>
        <xdr:cNvPr id="188" name="Picture 1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8" cstate="print"/>
        <a:stretch>
          <a:fillRect/>
        </a:stretch>
      </xdr:blipFill>
      <xdr:spPr>
        <a:xfrm>
          <a:off x="0" y="0"/>
          <a:ext cx="0" cy="0"/>
        </a:xfrm>
        <a:prstGeom prst="rect">
          <a:avLst/>
        </a:prstGeom>
      </xdr:spPr>
    </xdr:pic>
    <xdr:clientData/>
  </xdr:oneCellAnchor>
  <xdr:oneCellAnchor editAs="oneCell">
    <xdr:from>
      <xdr:col>24</xdr:col>
      <xdr:colOff>43686</xdr:colOff>
      <xdr:row>67</xdr:row>
      <xdr:rowOff>22655</xdr:rowOff>
    </xdr:from>
    <xdr:ext cx="257175" cy="219075"/>
    <xdr:pic>
      <xdr:nvPicPr>
        <xdr:cNvPr id="189" name="Picture 1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9" cstate="print"/>
        <a:stretch>
          <a:fillRect/>
        </a:stretch>
      </xdr:blipFill>
      <xdr:spPr>
        <a:xfrm>
          <a:off x="0" y="0"/>
          <a:ext cx="0" cy="0"/>
        </a:xfrm>
        <a:prstGeom prst="rect">
          <a:avLst/>
        </a:prstGeom>
      </xdr:spPr>
    </xdr:pic>
    <xdr:clientData/>
  </xdr:oneCellAnchor>
  <xdr:oneCellAnchor editAs="oneCell">
    <xdr:from>
      <xdr:col>25</xdr:col>
      <xdr:colOff>43686</xdr:colOff>
      <xdr:row>67</xdr:row>
      <xdr:rowOff>22655</xdr:rowOff>
    </xdr:from>
    <xdr:ext cx="257175" cy="219075"/>
    <xdr:pic>
      <xdr:nvPicPr>
        <xdr:cNvPr id="190" name="Picture 1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0" cstate="print"/>
        <a:stretch>
          <a:fillRect/>
        </a:stretch>
      </xdr:blipFill>
      <xdr:spPr>
        <a:xfrm>
          <a:off x="0" y="0"/>
          <a:ext cx="0" cy="0"/>
        </a:xfrm>
        <a:prstGeom prst="rect">
          <a:avLst/>
        </a:prstGeom>
      </xdr:spPr>
    </xdr:pic>
    <xdr:clientData/>
  </xdr:oneCellAnchor>
  <xdr:oneCellAnchor editAs="oneCell">
    <xdr:from>
      <xdr:col>26</xdr:col>
      <xdr:colOff>43686</xdr:colOff>
      <xdr:row>67</xdr:row>
      <xdr:rowOff>22655</xdr:rowOff>
    </xdr:from>
    <xdr:ext cx="257175" cy="219075"/>
    <xdr:pic>
      <xdr:nvPicPr>
        <xdr:cNvPr id="191" name="Picture 1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1" cstate="print"/>
        <a:stretch>
          <a:fillRect/>
        </a:stretch>
      </xdr:blipFill>
      <xdr:spPr>
        <a:xfrm>
          <a:off x="0" y="0"/>
          <a:ext cx="0" cy="0"/>
        </a:xfrm>
        <a:prstGeom prst="rect">
          <a:avLst/>
        </a:prstGeom>
      </xdr:spPr>
    </xdr:pic>
    <xdr:clientData/>
  </xdr:oneCellAnchor>
  <xdr:oneCellAnchor editAs="oneCell">
    <xdr:from>
      <xdr:col>27</xdr:col>
      <xdr:colOff>43686</xdr:colOff>
      <xdr:row>67</xdr:row>
      <xdr:rowOff>22655</xdr:rowOff>
    </xdr:from>
    <xdr:ext cx="257175" cy="219075"/>
    <xdr:pic>
      <xdr:nvPicPr>
        <xdr:cNvPr id="192" name="Picture 1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2" cstate="print"/>
        <a:stretch>
          <a:fillRect/>
        </a:stretch>
      </xdr:blipFill>
      <xdr:spPr>
        <a:xfrm>
          <a:off x="0" y="0"/>
          <a:ext cx="0" cy="0"/>
        </a:xfrm>
        <a:prstGeom prst="rect">
          <a:avLst/>
        </a:prstGeom>
      </xdr:spPr>
    </xdr:pic>
    <xdr:clientData/>
  </xdr:oneCellAnchor>
  <xdr:oneCellAnchor editAs="oneCell">
    <xdr:from>
      <xdr:col>28</xdr:col>
      <xdr:colOff>43686</xdr:colOff>
      <xdr:row>67</xdr:row>
      <xdr:rowOff>22655</xdr:rowOff>
    </xdr:from>
    <xdr:ext cx="257175" cy="219075"/>
    <xdr:pic>
      <xdr:nvPicPr>
        <xdr:cNvPr id="193" name="Picture 1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3" cstate="print"/>
        <a:stretch>
          <a:fillRect/>
        </a:stretch>
      </xdr:blipFill>
      <xdr:spPr>
        <a:xfrm>
          <a:off x="0" y="0"/>
          <a:ext cx="0" cy="0"/>
        </a:xfrm>
        <a:prstGeom prst="rect">
          <a:avLst/>
        </a:prstGeom>
      </xdr:spPr>
    </xdr:pic>
    <xdr:clientData/>
  </xdr:oneCellAnchor>
  <xdr:oneCellAnchor editAs="oneCell">
    <xdr:from>
      <xdr:col>29</xdr:col>
      <xdr:colOff>43686</xdr:colOff>
      <xdr:row>67</xdr:row>
      <xdr:rowOff>22655</xdr:rowOff>
    </xdr:from>
    <xdr:ext cx="257175" cy="219075"/>
    <xdr:pic>
      <xdr:nvPicPr>
        <xdr:cNvPr id="194" name="Picture 1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4" cstate="print"/>
        <a:stretch>
          <a:fillRect/>
        </a:stretch>
      </xdr:blipFill>
      <xdr:spPr>
        <a:xfrm>
          <a:off x="0" y="0"/>
          <a:ext cx="0" cy="0"/>
        </a:xfrm>
        <a:prstGeom prst="rect">
          <a:avLst/>
        </a:prstGeom>
      </xdr:spPr>
    </xdr:pic>
    <xdr:clientData/>
  </xdr:oneCellAnchor>
  <xdr:oneCellAnchor editAs="oneCell">
    <xdr:from>
      <xdr:col>42</xdr:col>
      <xdr:colOff>16581</xdr:colOff>
      <xdr:row>67</xdr:row>
      <xdr:rowOff>26280</xdr:rowOff>
    </xdr:from>
    <xdr:ext cx="285750" cy="228600"/>
    <xdr:pic>
      <xdr:nvPicPr>
        <xdr:cNvPr id="195" name="Picture 1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5"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6" name="Picture 1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6"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7" name="Picture 1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7"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8" name="Picture 1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8"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199" name="Picture 1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9"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0" name="Picture 2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0"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1" name="Picture 2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1"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2" name="Picture 2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2" cstate="print"/>
        <a:stretch>
          <a:fillRect/>
        </a:stretch>
      </xdr:blipFill>
      <xdr:spPr>
        <a:xfrm>
          <a:off x="0" y="0"/>
          <a:ext cx="0" cy="0"/>
        </a:xfrm>
        <a:prstGeom prst="rect">
          <a:avLst/>
        </a:prstGeom>
      </xdr:spPr>
    </xdr:pic>
    <xdr:clientData/>
  </xdr:oneCellAnchor>
  <xdr:oneCellAnchor editAs="oneCell">
    <xdr:from>
      <xdr:col>7</xdr:col>
      <xdr:colOff>43686</xdr:colOff>
      <xdr:row>254</xdr:row>
      <xdr:rowOff>18620</xdr:rowOff>
    </xdr:from>
    <xdr:ext cx="257175" cy="219075"/>
    <xdr:pic>
      <xdr:nvPicPr>
        <xdr:cNvPr id="203" name="Picture 2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3"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4" name="Picture 2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4"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5" name="Picture 2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5"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6" name="Picture 2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6"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7" name="Picture 2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7"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8" name="Picture 2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8"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09" name="Picture 2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9"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0" name="Picture 2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0" cstate="print"/>
        <a:stretch>
          <a:fillRect/>
        </a:stretch>
      </xdr:blipFill>
      <xdr:spPr>
        <a:xfrm>
          <a:off x="0" y="0"/>
          <a:ext cx="0" cy="0"/>
        </a:xfrm>
        <a:prstGeom prst="rect">
          <a:avLst/>
        </a:prstGeom>
      </xdr:spPr>
    </xdr:pic>
    <xdr:clientData/>
  </xdr:oneCellAnchor>
  <xdr:oneCellAnchor editAs="oneCell">
    <xdr:from>
      <xdr:col>8</xdr:col>
      <xdr:colOff>43686</xdr:colOff>
      <xdr:row>254</xdr:row>
      <xdr:rowOff>18620</xdr:rowOff>
    </xdr:from>
    <xdr:ext cx="257175" cy="219075"/>
    <xdr:pic>
      <xdr:nvPicPr>
        <xdr:cNvPr id="211" name="Picture 2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1"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2" name="Picture 2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2"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3" name="Picture 2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3"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4" name="Picture 2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4"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5" name="Picture 2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5"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6" name="Picture 2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6"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7" name="Picture 2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7"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8" name="Picture 2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8" cstate="print"/>
        <a:stretch>
          <a:fillRect/>
        </a:stretch>
      </xdr:blipFill>
      <xdr:spPr>
        <a:xfrm>
          <a:off x="0" y="0"/>
          <a:ext cx="0" cy="0"/>
        </a:xfrm>
        <a:prstGeom prst="rect">
          <a:avLst/>
        </a:prstGeom>
      </xdr:spPr>
    </xdr:pic>
    <xdr:clientData/>
  </xdr:oneCellAnchor>
  <xdr:oneCellAnchor editAs="oneCell">
    <xdr:from>
      <xdr:col>9</xdr:col>
      <xdr:colOff>43686</xdr:colOff>
      <xdr:row>254</xdr:row>
      <xdr:rowOff>18620</xdr:rowOff>
    </xdr:from>
    <xdr:ext cx="257175" cy="219075"/>
    <xdr:pic>
      <xdr:nvPicPr>
        <xdr:cNvPr id="219" name="Picture 2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9"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0" name="Picture 2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0"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1" name="Picture 2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1"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2" name="Picture 2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2"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3" name="Picture 2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3"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4" name="Picture 2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4"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5" name="Picture 2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5"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6" name="Picture 2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6" cstate="print"/>
        <a:stretch>
          <a:fillRect/>
        </a:stretch>
      </xdr:blipFill>
      <xdr:spPr>
        <a:xfrm>
          <a:off x="0" y="0"/>
          <a:ext cx="0" cy="0"/>
        </a:xfrm>
        <a:prstGeom prst="rect">
          <a:avLst/>
        </a:prstGeom>
      </xdr:spPr>
    </xdr:pic>
    <xdr:clientData/>
  </xdr:oneCellAnchor>
  <xdr:oneCellAnchor editAs="oneCell">
    <xdr:from>
      <xdr:col>10</xdr:col>
      <xdr:colOff>43686</xdr:colOff>
      <xdr:row>254</xdr:row>
      <xdr:rowOff>18620</xdr:rowOff>
    </xdr:from>
    <xdr:ext cx="257175" cy="219075"/>
    <xdr:pic>
      <xdr:nvPicPr>
        <xdr:cNvPr id="227" name="Picture 2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7"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28" name="Picture 2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8"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29" name="Picture 2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9"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0" name="Picture 2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0"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1" name="Picture 2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1"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2" name="Picture 2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2"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3" name="Picture 2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3"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4" name="Picture 2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4" cstate="print"/>
        <a:stretch>
          <a:fillRect/>
        </a:stretch>
      </xdr:blipFill>
      <xdr:spPr>
        <a:xfrm>
          <a:off x="0" y="0"/>
          <a:ext cx="0" cy="0"/>
        </a:xfrm>
        <a:prstGeom prst="rect">
          <a:avLst/>
        </a:prstGeom>
      </xdr:spPr>
    </xdr:pic>
    <xdr:clientData/>
  </xdr:oneCellAnchor>
  <xdr:oneCellAnchor editAs="oneCell">
    <xdr:from>
      <xdr:col>11</xdr:col>
      <xdr:colOff>43686</xdr:colOff>
      <xdr:row>254</xdr:row>
      <xdr:rowOff>18620</xdr:rowOff>
    </xdr:from>
    <xdr:ext cx="257175" cy="219075"/>
    <xdr:pic>
      <xdr:nvPicPr>
        <xdr:cNvPr id="235" name="Picture 2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5"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6" name="Picture 2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6"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7" name="Picture 2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7"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8" name="Picture 2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8"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39" name="Picture 2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9"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0" name="Picture 2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0"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1" name="Picture 2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1"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2" name="Picture 2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2" cstate="print"/>
        <a:stretch>
          <a:fillRect/>
        </a:stretch>
      </xdr:blipFill>
      <xdr:spPr>
        <a:xfrm>
          <a:off x="0" y="0"/>
          <a:ext cx="0" cy="0"/>
        </a:xfrm>
        <a:prstGeom prst="rect">
          <a:avLst/>
        </a:prstGeom>
      </xdr:spPr>
    </xdr:pic>
    <xdr:clientData/>
  </xdr:oneCellAnchor>
  <xdr:oneCellAnchor editAs="oneCell">
    <xdr:from>
      <xdr:col>12</xdr:col>
      <xdr:colOff>43686</xdr:colOff>
      <xdr:row>254</xdr:row>
      <xdr:rowOff>18620</xdr:rowOff>
    </xdr:from>
    <xdr:ext cx="257175" cy="219075"/>
    <xdr:pic>
      <xdr:nvPicPr>
        <xdr:cNvPr id="243" name="Picture 2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3"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4" name="Picture 2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4"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5" name="Picture 2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5"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6" name="Picture 2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6"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7" name="Picture 2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7"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8" name="Picture 2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8"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49" name="Picture 2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9"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0" name="Picture 2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0" cstate="print"/>
        <a:stretch>
          <a:fillRect/>
        </a:stretch>
      </xdr:blipFill>
      <xdr:spPr>
        <a:xfrm>
          <a:off x="0" y="0"/>
          <a:ext cx="0" cy="0"/>
        </a:xfrm>
        <a:prstGeom prst="rect">
          <a:avLst/>
        </a:prstGeom>
      </xdr:spPr>
    </xdr:pic>
    <xdr:clientData/>
  </xdr:oneCellAnchor>
  <xdr:oneCellAnchor editAs="oneCell">
    <xdr:from>
      <xdr:col>13</xdr:col>
      <xdr:colOff>43686</xdr:colOff>
      <xdr:row>254</xdr:row>
      <xdr:rowOff>18620</xdr:rowOff>
    </xdr:from>
    <xdr:ext cx="257175" cy="219075"/>
    <xdr:pic>
      <xdr:nvPicPr>
        <xdr:cNvPr id="251" name="Picture 2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1"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2" name="Picture 2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2"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3" name="Picture 2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3"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4" name="Picture 2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4"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5" name="Picture 2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5"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6" name="Picture 2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6"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7" name="Picture 2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7"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8" name="Picture 2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8" cstate="print"/>
        <a:stretch>
          <a:fillRect/>
        </a:stretch>
      </xdr:blipFill>
      <xdr:spPr>
        <a:xfrm>
          <a:off x="0" y="0"/>
          <a:ext cx="0" cy="0"/>
        </a:xfrm>
        <a:prstGeom prst="rect">
          <a:avLst/>
        </a:prstGeom>
      </xdr:spPr>
    </xdr:pic>
    <xdr:clientData/>
  </xdr:oneCellAnchor>
  <xdr:oneCellAnchor editAs="oneCell">
    <xdr:from>
      <xdr:col>14</xdr:col>
      <xdr:colOff>43686</xdr:colOff>
      <xdr:row>254</xdr:row>
      <xdr:rowOff>18620</xdr:rowOff>
    </xdr:from>
    <xdr:ext cx="257175" cy="219075"/>
    <xdr:pic>
      <xdr:nvPicPr>
        <xdr:cNvPr id="259" name="Picture 2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9"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0" name="Picture 2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0"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1" name="Picture 2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1"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2" name="Picture 2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2"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3" name="Picture 2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3"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4" name="Picture 2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4"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5" name="Picture 2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5"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6" name="Picture 2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6" cstate="print"/>
        <a:stretch>
          <a:fillRect/>
        </a:stretch>
      </xdr:blipFill>
      <xdr:spPr>
        <a:xfrm>
          <a:off x="0" y="0"/>
          <a:ext cx="0" cy="0"/>
        </a:xfrm>
        <a:prstGeom prst="rect">
          <a:avLst/>
        </a:prstGeom>
      </xdr:spPr>
    </xdr:pic>
    <xdr:clientData/>
  </xdr:oneCellAnchor>
  <xdr:oneCellAnchor editAs="oneCell">
    <xdr:from>
      <xdr:col>15</xdr:col>
      <xdr:colOff>43686</xdr:colOff>
      <xdr:row>254</xdr:row>
      <xdr:rowOff>18620</xdr:rowOff>
    </xdr:from>
    <xdr:ext cx="257175" cy="219075"/>
    <xdr:pic>
      <xdr:nvPicPr>
        <xdr:cNvPr id="267" name="Picture 2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7"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68" name="Picture 2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8"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69" name="Picture 2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9"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0" name="Picture 2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0"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1" name="Picture 2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1"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2" name="Picture 2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2"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3" name="Picture 27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3"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4" name="Picture 27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4" cstate="print"/>
        <a:stretch>
          <a:fillRect/>
        </a:stretch>
      </xdr:blipFill>
      <xdr:spPr>
        <a:xfrm>
          <a:off x="0" y="0"/>
          <a:ext cx="0" cy="0"/>
        </a:xfrm>
        <a:prstGeom prst="rect">
          <a:avLst/>
        </a:prstGeom>
      </xdr:spPr>
    </xdr:pic>
    <xdr:clientData/>
  </xdr:oneCellAnchor>
  <xdr:oneCellAnchor editAs="oneCell">
    <xdr:from>
      <xdr:col>16</xdr:col>
      <xdr:colOff>43686</xdr:colOff>
      <xdr:row>254</xdr:row>
      <xdr:rowOff>18620</xdr:rowOff>
    </xdr:from>
    <xdr:ext cx="257175" cy="219075"/>
    <xdr:pic>
      <xdr:nvPicPr>
        <xdr:cNvPr id="275" name="Picture 27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5"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6" name="Picture 27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6"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7" name="Picture 27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7"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8" name="Picture 27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8"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79" name="Picture 27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9"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0" name="Picture 28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0"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1" name="Picture 28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1"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2" name="Picture 28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2" cstate="print"/>
        <a:stretch>
          <a:fillRect/>
        </a:stretch>
      </xdr:blipFill>
      <xdr:spPr>
        <a:xfrm>
          <a:off x="0" y="0"/>
          <a:ext cx="0" cy="0"/>
        </a:xfrm>
        <a:prstGeom prst="rect">
          <a:avLst/>
        </a:prstGeom>
      </xdr:spPr>
    </xdr:pic>
    <xdr:clientData/>
  </xdr:oneCellAnchor>
  <xdr:oneCellAnchor editAs="oneCell">
    <xdr:from>
      <xdr:col>17</xdr:col>
      <xdr:colOff>43686</xdr:colOff>
      <xdr:row>254</xdr:row>
      <xdr:rowOff>18620</xdr:rowOff>
    </xdr:from>
    <xdr:ext cx="257175" cy="219075"/>
    <xdr:pic>
      <xdr:nvPicPr>
        <xdr:cNvPr id="283" name="Picture 28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3"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4" name="Picture 28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4"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5" name="Picture 28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5"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6" name="Picture 28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6"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7" name="Picture 28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7"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8" name="Picture 28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8"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89" name="Picture 28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9"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0" name="Picture 29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0" cstate="print"/>
        <a:stretch>
          <a:fillRect/>
        </a:stretch>
      </xdr:blipFill>
      <xdr:spPr>
        <a:xfrm>
          <a:off x="0" y="0"/>
          <a:ext cx="0" cy="0"/>
        </a:xfrm>
        <a:prstGeom prst="rect">
          <a:avLst/>
        </a:prstGeom>
      </xdr:spPr>
    </xdr:pic>
    <xdr:clientData/>
  </xdr:oneCellAnchor>
  <xdr:oneCellAnchor editAs="oneCell">
    <xdr:from>
      <xdr:col>18</xdr:col>
      <xdr:colOff>43686</xdr:colOff>
      <xdr:row>254</xdr:row>
      <xdr:rowOff>18620</xdr:rowOff>
    </xdr:from>
    <xdr:ext cx="257175" cy="219075"/>
    <xdr:pic>
      <xdr:nvPicPr>
        <xdr:cNvPr id="291" name="Picture 29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1"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2" name="Picture 29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2"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3" name="Picture 29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3"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4" name="Picture 29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4"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5" name="Picture 29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5"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6" name="Picture 29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6"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7" name="Picture 29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7"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8" name="Picture 29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8" cstate="print"/>
        <a:stretch>
          <a:fillRect/>
        </a:stretch>
      </xdr:blipFill>
      <xdr:spPr>
        <a:xfrm>
          <a:off x="0" y="0"/>
          <a:ext cx="0" cy="0"/>
        </a:xfrm>
        <a:prstGeom prst="rect">
          <a:avLst/>
        </a:prstGeom>
      </xdr:spPr>
    </xdr:pic>
    <xdr:clientData/>
  </xdr:oneCellAnchor>
  <xdr:oneCellAnchor editAs="oneCell">
    <xdr:from>
      <xdr:col>19</xdr:col>
      <xdr:colOff>43686</xdr:colOff>
      <xdr:row>254</xdr:row>
      <xdr:rowOff>18620</xdr:rowOff>
    </xdr:from>
    <xdr:ext cx="257175" cy="219075"/>
    <xdr:pic>
      <xdr:nvPicPr>
        <xdr:cNvPr id="299" name="Picture 29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9"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0" name="Picture 30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0"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1" name="Picture 3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1"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2" name="Picture 30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2"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3" name="Picture 30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3"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4" name="Picture 30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4"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5" name="Picture 30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5"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6" name="Picture 30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6" cstate="print"/>
        <a:stretch>
          <a:fillRect/>
        </a:stretch>
      </xdr:blipFill>
      <xdr:spPr>
        <a:xfrm>
          <a:off x="0" y="0"/>
          <a:ext cx="0" cy="0"/>
        </a:xfrm>
        <a:prstGeom prst="rect">
          <a:avLst/>
        </a:prstGeom>
      </xdr:spPr>
    </xdr:pic>
    <xdr:clientData/>
  </xdr:oneCellAnchor>
  <xdr:oneCellAnchor editAs="oneCell">
    <xdr:from>
      <xdr:col>20</xdr:col>
      <xdr:colOff>43686</xdr:colOff>
      <xdr:row>254</xdr:row>
      <xdr:rowOff>18620</xdr:rowOff>
    </xdr:from>
    <xdr:ext cx="257175" cy="219075"/>
    <xdr:pic>
      <xdr:nvPicPr>
        <xdr:cNvPr id="307" name="Picture 30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7"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08" name="Picture 30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8"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09" name="Picture 30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9"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0" name="Picture 3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0"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1" name="Picture 3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1"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2" name="Picture 3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2"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3" name="Picture 3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3"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4" name="Picture 3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4" cstate="print"/>
        <a:stretch>
          <a:fillRect/>
        </a:stretch>
      </xdr:blipFill>
      <xdr:spPr>
        <a:xfrm>
          <a:off x="0" y="0"/>
          <a:ext cx="0" cy="0"/>
        </a:xfrm>
        <a:prstGeom prst="rect">
          <a:avLst/>
        </a:prstGeom>
      </xdr:spPr>
    </xdr:pic>
    <xdr:clientData/>
  </xdr:oneCellAnchor>
  <xdr:oneCellAnchor editAs="oneCell">
    <xdr:from>
      <xdr:col>21</xdr:col>
      <xdr:colOff>43686</xdr:colOff>
      <xdr:row>254</xdr:row>
      <xdr:rowOff>18620</xdr:rowOff>
    </xdr:from>
    <xdr:ext cx="257175" cy="219075"/>
    <xdr:pic>
      <xdr:nvPicPr>
        <xdr:cNvPr id="315" name="Picture 3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5"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6" name="Picture 3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6"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7" name="Picture 3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7"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8" name="Picture 3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8"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19" name="Picture 3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9"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0" name="Picture 3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0"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1" name="Picture 3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1"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2" name="Picture 3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2" cstate="print"/>
        <a:stretch>
          <a:fillRect/>
        </a:stretch>
      </xdr:blipFill>
      <xdr:spPr>
        <a:xfrm>
          <a:off x="0" y="0"/>
          <a:ext cx="0" cy="0"/>
        </a:xfrm>
        <a:prstGeom prst="rect">
          <a:avLst/>
        </a:prstGeom>
      </xdr:spPr>
    </xdr:pic>
    <xdr:clientData/>
  </xdr:oneCellAnchor>
  <xdr:oneCellAnchor editAs="oneCell">
    <xdr:from>
      <xdr:col>22</xdr:col>
      <xdr:colOff>43686</xdr:colOff>
      <xdr:row>254</xdr:row>
      <xdr:rowOff>18620</xdr:rowOff>
    </xdr:from>
    <xdr:ext cx="257175" cy="219075"/>
    <xdr:pic>
      <xdr:nvPicPr>
        <xdr:cNvPr id="323" name="Picture 3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3"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4" name="Picture 3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4"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5" name="Picture 3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5"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6" name="Picture 3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6"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7" name="Picture 3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7"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8" name="Picture 3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8"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29" name="Picture 3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9" cstate="print"/>
        <a:stretch>
          <a:fillRect/>
        </a:stretch>
      </xdr:blipFill>
      <xdr:spPr>
        <a:xfrm>
          <a:off x="0" y="0"/>
          <a:ext cx="0" cy="0"/>
        </a:xfrm>
        <a:prstGeom prst="rect">
          <a:avLst/>
        </a:prstGeom>
      </xdr:spPr>
    </xdr:pic>
    <xdr:clientData/>
  </xdr:oneCellAnchor>
  <xdr:oneCellAnchor editAs="oneCell">
    <xdr:from>
      <xdr:col>23</xdr:col>
      <xdr:colOff>43686</xdr:colOff>
      <xdr:row>254</xdr:row>
      <xdr:rowOff>18620</xdr:rowOff>
    </xdr:from>
    <xdr:ext cx="257175" cy="219075"/>
    <xdr:pic>
      <xdr:nvPicPr>
        <xdr:cNvPr id="330" name="Picture 3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0"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1" name="Picture 3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1"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2" name="Picture 3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2"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3" name="Picture 3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3"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4" name="Picture 3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4"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5" name="Picture 3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5"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6" name="Picture 3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6"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7" name="Picture 3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7" cstate="print"/>
        <a:stretch>
          <a:fillRect/>
        </a:stretch>
      </xdr:blipFill>
      <xdr:spPr>
        <a:xfrm>
          <a:off x="0" y="0"/>
          <a:ext cx="0" cy="0"/>
        </a:xfrm>
        <a:prstGeom prst="rect">
          <a:avLst/>
        </a:prstGeom>
      </xdr:spPr>
    </xdr:pic>
    <xdr:clientData/>
  </xdr:oneCellAnchor>
  <xdr:oneCellAnchor editAs="oneCell">
    <xdr:from>
      <xdr:col>24</xdr:col>
      <xdr:colOff>43686</xdr:colOff>
      <xdr:row>254</xdr:row>
      <xdr:rowOff>18620</xdr:rowOff>
    </xdr:from>
    <xdr:ext cx="257175" cy="219075"/>
    <xdr:pic>
      <xdr:nvPicPr>
        <xdr:cNvPr id="338" name="Picture 3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8"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39" name="Picture 3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9"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0" name="Picture 3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0" cstate="print"/>
        <a:stretch>
          <a:fillRect/>
        </a:stretch>
      </xdr:blipFill>
      <xdr:spPr>
        <a:xfrm>
          <a:off x="0" y="0"/>
          <a:ext cx="0" cy="0"/>
        </a:xfrm>
        <a:prstGeom prst="rect">
          <a:avLst/>
        </a:prstGeom>
      </xdr:spPr>
    </xdr:pic>
    <xdr:clientData/>
  </xdr:oneCellAnchor>
  <xdr:oneCellAnchor editAs="oneCell">
    <xdr:from>
      <xdr:col>25</xdr:col>
      <xdr:colOff>43686</xdr:colOff>
      <xdr:row>254</xdr:row>
      <xdr:rowOff>18620</xdr:rowOff>
    </xdr:from>
    <xdr:ext cx="257175" cy="219075"/>
    <xdr:pic>
      <xdr:nvPicPr>
        <xdr:cNvPr id="341" name="Picture 3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1"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42" name="Picture 3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2"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43" name="Picture 3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3" cstate="print"/>
        <a:stretch>
          <a:fillRect/>
        </a:stretch>
      </xdr:blipFill>
      <xdr:spPr>
        <a:xfrm>
          <a:off x="0" y="0"/>
          <a:ext cx="0" cy="0"/>
        </a:xfrm>
        <a:prstGeom prst="rect">
          <a:avLst/>
        </a:prstGeom>
      </xdr:spPr>
    </xdr:pic>
    <xdr:clientData/>
  </xdr:oneCellAnchor>
  <xdr:oneCellAnchor editAs="oneCell">
    <xdr:from>
      <xdr:col>26</xdr:col>
      <xdr:colOff>43686</xdr:colOff>
      <xdr:row>254</xdr:row>
      <xdr:rowOff>18620</xdr:rowOff>
    </xdr:from>
    <xdr:ext cx="257175" cy="219075"/>
    <xdr:pic>
      <xdr:nvPicPr>
        <xdr:cNvPr id="344" name="Picture 3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4"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45" name="Picture 3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5"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46" name="Picture 3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6"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47" name="Picture 3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7"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48" name="Picture 3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8" cstate="print"/>
        <a:stretch>
          <a:fillRect/>
        </a:stretch>
      </xdr:blipFill>
      <xdr:spPr>
        <a:xfrm>
          <a:off x="0" y="0"/>
          <a:ext cx="0" cy="0"/>
        </a:xfrm>
        <a:prstGeom prst="rect">
          <a:avLst/>
        </a:prstGeom>
      </xdr:spPr>
    </xdr:pic>
    <xdr:clientData/>
  </xdr:oneCellAnchor>
  <xdr:oneCellAnchor editAs="oneCell">
    <xdr:from>
      <xdr:col>27</xdr:col>
      <xdr:colOff>43686</xdr:colOff>
      <xdr:row>254</xdr:row>
      <xdr:rowOff>18620</xdr:rowOff>
    </xdr:from>
    <xdr:ext cx="257175" cy="219075"/>
    <xdr:pic>
      <xdr:nvPicPr>
        <xdr:cNvPr id="349" name="Picture 3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9"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0" name="Picture 3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0"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1" name="Picture 35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1"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2" name="Picture 35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2"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3" name="Picture 35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3"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4" name="Picture 35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4"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5" name="Picture 35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5"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6" name="Picture 35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6" cstate="print"/>
        <a:stretch>
          <a:fillRect/>
        </a:stretch>
      </xdr:blipFill>
      <xdr:spPr>
        <a:xfrm>
          <a:off x="0" y="0"/>
          <a:ext cx="0" cy="0"/>
        </a:xfrm>
        <a:prstGeom prst="rect">
          <a:avLst/>
        </a:prstGeom>
      </xdr:spPr>
    </xdr:pic>
    <xdr:clientData/>
  </xdr:oneCellAnchor>
  <xdr:oneCellAnchor editAs="oneCell">
    <xdr:from>
      <xdr:col>28</xdr:col>
      <xdr:colOff>43686</xdr:colOff>
      <xdr:row>254</xdr:row>
      <xdr:rowOff>18620</xdr:rowOff>
    </xdr:from>
    <xdr:ext cx="257175" cy="219075"/>
    <xdr:pic>
      <xdr:nvPicPr>
        <xdr:cNvPr id="357" name="Picture 35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7"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58" name="Picture 35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8"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59" name="Picture 35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9"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60" name="Picture 36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0"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61" name="Picture 36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1"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62" name="Picture 36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2"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63" name="Picture 36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3"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64" name="Picture 36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4" cstate="print"/>
        <a:stretch>
          <a:fillRect/>
        </a:stretch>
      </xdr:blipFill>
      <xdr:spPr>
        <a:xfrm>
          <a:off x="0" y="0"/>
          <a:ext cx="0" cy="0"/>
        </a:xfrm>
        <a:prstGeom prst="rect">
          <a:avLst/>
        </a:prstGeom>
      </xdr:spPr>
    </xdr:pic>
    <xdr:clientData/>
  </xdr:oneCellAnchor>
  <xdr:oneCellAnchor editAs="oneCell">
    <xdr:from>
      <xdr:col>29</xdr:col>
      <xdr:colOff>43686</xdr:colOff>
      <xdr:row>254</xdr:row>
      <xdr:rowOff>18620</xdr:rowOff>
    </xdr:from>
    <xdr:ext cx="257175" cy="219075"/>
    <xdr:pic>
      <xdr:nvPicPr>
        <xdr:cNvPr id="365" name="Picture 36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5"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6" name="Picture 36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6"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7" name="Picture 36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7"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8" name="Picture 36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8"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69" name="Picture 36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9"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70" name="Picture 37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0"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71" name="Picture 37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1" cstate="print"/>
        <a:stretch>
          <a:fillRect/>
        </a:stretch>
      </xdr:blipFill>
      <xdr:spPr>
        <a:xfrm>
          <a:off x="0" y="0"/>
          <a:ext cx="0" cy="0"/>
        </a:xfrm>
        <a:prstGeom prst="rect">
          <a:avLst/>
        </a:prstGeom>
      </xdr:spPr>
    </xdr:pic>
    <xdr:clientData/>
  </xdr:oneCellAnchor>
  <xdr:oneCellAnchor editAs="oneCell">
    <xdr:from>
      <xdr:col>41</xdr:col>
      <xdr:colOff>42624</xdr:colOff>
      <xdr:row>254</xdr:row>
      <xdr:rowOff>18620</xdr:rowOff>
    </xdr:from>
    <xdr:ext cx="647700" cy="219075"/>
    <xdr:pic>
      <xdr:nvPicPr>
        <xdr:cNvPr id="372" name="Picture 37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2" cstate="print"/>
        <a:stretch>
          <a:fillRect/>
        </a:stretch>
      </xdr:blipFill>
      <xdr:spPr>
        <a:xfrm>
          <a:off x="0" y="0"/>
          <a:ext cx="0" cy="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5</xdr:col>
      <xdr:colOff>54847</xdr:colOff>
      <xdr:row>12</xdr:row>
      <xdr:rowOff>22655</xdr:rowOff>
    </xdr:from>
    <xdr:ext cx="257175" cy="219075"/>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oneCellAnchor editAs="oneCell">
    <xdr:from>
      <xdr:col>5</xdr:col>
      <xdr:colOff>54847</xdr:colOff>
      <xdr:row>13</xdr:row>
      <xdr:rowOff>22655</xdr:rowOff>
    </xdr:from>
    <xdr:ext cx="257175" cy="219075"/>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oneCellAnchor>
  <xdr:oneCellAnchor editAs="oneCell">
    <xdr:from>
      <xdr:col>5</xdr:col>
      <xdr:colOff>54847</xdr:colOff>
      <xdr:row>14</xdr:row>
      <xdr:rowOff>22655</xdr:rowOff>
    </xdr:from>
    <xdr:ext cx="257175" cy="219075"/>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oneCellAnchor>
  <xdr:oneCellAnchor editAs="oneCell">
    <xdr:from>
      <xdr:col>5</xdr:col>
      <xdr:colOff>54847</xdr:colOff>
      <xdr:row>63</xdr:row>
      <xdr:rowOff>22655</xdr:rowOff>
    </xdr:from>
    <xdr:ext cx="257175" cy="219075"/>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oneCellAnchor>
  <xdr:oneCellAnchor editAs="oneCell">
    <xdr:from>
      <xdr:col>5</xdr:col>
      <xdr:colOff>54847</xdr:colOff>
      <xdr:row>64</xdr:row>
      <xdr:rowOff>22655</xdr:rowOff>
    </xdr:from>
    <xdr:ext cx="257175" cy="219075"/>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oneCellAnchor>
  <xdr:oneCellAnchor editAs="oneCell">
    <xdr:from>
      <xdr:col>5</xdr:col>
      <xdr:colOff>54847</xdr:colOff>
      <xdr:row>65</xdr:row>
      <xdr:rowOff>22655</xdr:rowOff>
    </xdr:from>
    <xdr:ext cx="257175" cy="219075"/>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oneCellAnchor>
  <xdr:oneCellAnchor editAs="oneCell">
    <xdr:from>
      <xdr:col>5</xdr:col>
      <xdr:colOff>54847</xdr:colOff>
      <xdr:row>66</xdr:row>
      <xdr:rowOff>22655</xdr:rowOff>
    </xdr:from>
    <xdr:ext cx="257175" cy="219075"/>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oneCellAnchor>
  <xdr:oneCellAnchor editAs="oneCell">
    <xdr:from>
      <xdr:col>5</xdr:col>
      <xdr:colOff>54847</xdr:colOff>
      <xdr:row>67</xdr:row>
      <xdr:rowOff>22655</xdr:rowOff>
    </xdr:from>
    <xdr:ext cx="257175" cy="219075"/>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oneCellAnchor>
  <xdr:oneCellAnchor editAs="oneCell">
    <xdr:from>
      <xdr:col>5</xdr:col>
      <xdr:colOff>54847</xdr:colOff>
      <xdr:row>254</xdr:row>
      <xdr:rowOff>18620</xdr:rowOff>
    </xdr:from>
    <xdr:ext cx="257175" cy="219075"/>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editAs="oneCell">
    <xdr:from>
      <xdr:col>0</xdr:col>
      <xdr:colOff>266700</xdr:colOff>
      <xdr:row>0</xdr:row>
      <xdr:rowOff>140493</xdr:rowOff>
    </xdr:from>
    <xdr:ext cx="1231280" cy="1227243"/>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32</xdr:col>
      <xdr:colOff>238079</xdr:colOff>
      <xdr:row>0</xdr:row>
      <xdr:rowOff>104792</xdr:rowOff>
    </xdr:from>
    <xdr:ext cx="2295571" cy="1123933"/>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 Id="rId3"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 Id="rId3"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 Id="rId3"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 Id="rId3" Type="http://schemas.openxmlformats.org/officeDocument/2006/relationships/drawing" Target="../drawings/drawing7.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2.xml"/><Relationship Id="rId2" Type="http://schemas.openxmlformats.org/officeDocument/2006/relationships/vmlDrawing" Target="../drawings/vmlDrawing12.vml"/><Relationship Id="rId3"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 Id="rId3" Type="http://schemas.openxmlformats.org/officeDocument/2006/relationships/drawing" Target="../drawings/drawing9.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 Id="rId3"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 Id="rId3" Type="http://schemas.openxmlformats.org/officeDocument/2006/relationships/drawing" Target="../drawings/drawing3.x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 Id="rId3" Type="http://schemas.openxmlformats.org/officeDocument/2006/relationships/drawing" Target="../drawings/drawing2.x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8"/>
  <sheetFormatPr defaultRowHeight="15" outlineLevelRow="0" outlineLevelCol="0" x14ac:dyDescent="55"/>
  <cols>
    <col min="1" max="1" width="15" customWidth="1"/>
    <col min="2" max="2" width="30" customWidth="1"/>
    <col min="3" max="5" width="20" customWidth="1"/>
  </cols>
  <sheetData>
    <row r="1" spans="1:5" x14ac:dyDescent="0.25">
      <c r="A1" t="s">
        <v>120</v>
      </c>
      <c r="B1" t="s">
        <v>121</v>
      </c>
      <c r="C1" t="s">
        <v>122</v>
      </c>
      <c r="D1" t="s">
        <v>123</v>
      </c>
      <c r="E1" t="s">
        <v>124</v>
      </c>
    </row>
    <row r="2" spans="1:5" x14ac:dyDescent="0.25">
      <c r="A2" t="s">
        <v>125</v>
      </c>
      <c r="B2" t="s">
        <v>41</v>
      </c>
      <c r="C2">
        <v>7</v>
      </c>
      <c r="D2" t="s">
        <v>126</v>
      </c>
      <c r="E2" t="s">
        <v>127</v>
      </c>
    </row>
    <row r="3" spans="1:5" x14ac:dyDescent="0.25">
      <c r="A3" t="s">
        <v>128</v>
      </c>
      <c r="B3" t="s">
        <v>41</v>
      </c>
      <c r="C3">
        <v>7</v>
      </c>
      <c r="D3" t="s">
        <v>129</v>
      </c>
      <c r="E3" t="s">
        <v>127</v>
      </c>
    </row>
    <row r="4" spans="1:5" x14ac:dyDescent="0.25">
      <c r="A4" t="s">
        <v>128</v>
      </c>
      <c r="B4" t="s">
        <v>29</v>
      </c>
      <c r="C4">
        <v>11</v>
      </c>
      <c r="D4" t="s">
        <v>130</v>
      </c>
      <c r="E4" t="s">
        <v>127</v>
      </c>
    </row>
    <row r="5" spans="1:5" x14ac:dyDescent="0.25">
      <c r="A5" t="s">
        <v>131</v>
      </c>
      <c r="B5" t="s">
        <v>23</v>
      </c>
      <c r="C5">
        <v>17</v>
      </c>
      <c r="D5" t="s">
        <v>132</v>
      </c>
      <c r="E5" t="s">
        <v>127</v>
      </c>
    </row>
    <row r="6" spans="1:5" x14ac:dyDescent="0.25">
      <c r="A6" t="s">
        <v>131</v>
      </c>
      <c r="B6" t="s">
        <v>26</v>
      </c>
      <c r="C6">
        <v>12</v>
      </c>
      <c r="D6" t="s">
        <v>133</v>
      </c>
      <c r="E6" t="s">
        <v>127</v>
      </c>
    </row>
    <row r="7" spans="1:5" x14ac:dyDescent="0.25">
      <c r="A7" t="s">
        <v>131</v>
      </c>
      <c r="B7" t="s">
        <v>39</v>
      </c>
      <c r="C7">
        <v>14</v>
      </c>
      <c r="D7" t="s">
        <v>134</v>
      </c>
      <c r="E7" t="s">
        <v>127</v>
      </c>
    </row>
    <row r="8" spans="1:5" x14ac:dyDescent="0.25">
      <c r="A8" t="s">
        <v>131</v>
      </c>
      <c r="B8" t="s">
        <v>38</v>
      </c>
      <c r="C8">
        <v>16</v>
      </c>
      <c r="D8" t="s">
        <v>135</v>
      </c>
      <c r="E8" t="s">
        <v>127</v>
      </c>
    </row>
    <row r="9" spans="1:5" x14ac:dyDescent="0.25">
      <c r="A9" t="s">
        <v>131</v>
      </c>
      <c r="B9" t="s">
        <v>37</v>
      </c>
      <c r="C9">
        <v>20</v>
      </c>
      <c r="D9" t="s">
        <v>136</v>
      </c>
      <c r="E9" t="s">
        <v>127</v>
      </c>
    </row>
    <row r="10" spans="1:5" x14ac:dyDescent="0.25">
      <c r="A10" t="s">
        <v>137</v>
      </c>
      <c r="B10" t="s">
        <v>26</v>
      </c>
      <c r="C10">
        <v>12</v>
      </c>
      <c r="D10" t="s">
        <v>138</v>
      </c>
      <c r="E10" t="s">
        <v>127</v>
      </c>
    </row>
    <row r="11" spans="1:5" x14ac:dyDescent="0.25">
      <c r="A11" t="s">
        <v>137</v>
      </c>
      <c r="B11" t="s">
        <v>37</v>
      </c>
      <c r="C11">
        <v>20</v>
      </c>
      <c r="D11" t="s">
        <v>139</v>
      </c>
      <c r="E11" t="s">
        <v>127</v>
      </c>
    </row>
    <row r="12" spans="1:5" x14ac:dyDescent="0.25">
      <c r="A12" t="s">
        <v>137</v>
      </c>
      <c r="B12" t="s">
        <v>23</v>
      </c>
      <c r="C12">
        <v>17</v>
      </c>
      <c r="D12" t="s">
        <v>140</v>
      </c>
      <c r="E12" t="s">
        <v>127</v>
      </c>
    </row>
    <row r="13" spans="1:5" x14ac:dyDescent="0.25">
      <c r="A13" t="s">
        <v>137</v>
      </c>
      <c r="B13" t="s">
        <v>38</v>
      </c>
      <c r="C13">
        <v>16</v>
      </c>
      <c r="D13" t="s">
        <v>141</v>
      </c>
      <c r="E13" t="s">
        <v>127</v>
      </c>
    </row>
    <row r="14" spans="1:5" x14ac:dyDescent="0.25">
      <c r="A14" t="s">
        <v>137</v>
      </c>
      <c r="B14" t="s">
        <v>39</v>
      </c>
      <c r="C14">
        <v>14</v>
      </c>
      <c r="D14" t="s">
        <v>142</v>
      </c>
      <c r="E14" t="s">
        <v>127</v>
      </c>
    </row>
    <row r="15" spans="1:5" x14ac:dyDescent="0.25">
      <c r="A15" t="s">
        <v>137</v>
      </c>
      <c r="B15" t="s">
        <v>26</v>
      </c>
      <c r="C15">
        <v>12</v>
      </c>
      <c r="D15" t="s">
        <v>143</v>
      </c>
      <c r="E15" t="s">
        <v>127</v>
      </c>
    </row>
    <row r="16" spans="1:5" x14ac:dyDescent="0.25">
      <c r="A16" t="s">
        <v>144</v>
      </c>
      <c r="B16" t="s">
        <v>38</v>
      </c>
      <c r="C16">
        <v>16</v>
      </c>
      <c r="D16" t="s">
        <v>145</v>
      </c>
      <c r="E16" t="s">
        <v>127</v>
      </c>
    </row>
    <row r="17" spans="1:5" x14ac:dyDescent="0.25">
      <c r="A17" t="s">
        <v>144</v>
      </c>
      <c r="B17" t="s">
        <v>23</v>
      </c>
      <c r="C17">
        <v>17</v>
      </c>
      <c r="D17" t="s">
        <v>146</v>
      </c>
      <c r="E17" t="s">
        <v>127</v>
      </c>
    </row>
    <row r="18" spans="1:5" x14ac:dyDescent="0.25">
      <c r="A18" t="s">
        <v>144</v>
      </c>
      <c r="B18" t="s">
        <v>26</v>
      </c>
      <c r="C18">
        <v>12</v>
      </c>
      <c r="D18" t="s">
        <v>147</v>
      </c>
      <c r="E18" t="s">
        <v>127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U26" sqref="U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113</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c r="AD13" s="62"/>
      <c r="AE13" s="62"/>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c r="AD64" s="62"/>
      <c r="AE64" s="62"/>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c r="AD65" s="62"/>
      <c r="AE65" s="62"/>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c r="AD66" s="62"/>
      <c r="AE66" s="62"/>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c r="AD67" s="62"/>
      <c r="AE67" s="62"/>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I10" sqref="I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114</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c r="I10" s="35">
        <v>1</v>
      </c>
      <c r="J10" s="35">
        <v>2</v>
      </c>
      <c r="K10" s="36">
        <v>3</v>
      </c>
      <c r="L10" s="37">
        <v>6</v>
      </c>
      <c r="M10" s="35">
        <v>7</v>
      </c>
      <c r="N10" s="35">
        <v>8</v>
      </c>
      <c r="O10" s="35">
        <v>9</v>
      </c>
      <c r="P10" s="38">
        <v>10</v>
      </c>
      <c r="Q10" s="34">
        <v>13</v>
      </c>
      <c r="R10" s="35">
        <v>14</v>
      </c>
      <c r="S10" s="35">
        <v>15</v>
      </c>
      <c r="T10" s="35">
        <v>16</v>
      </c>
      <c r="U10" s="36">
        <v>17</v>
      </c>
      <c r="V10" s="37">
        <v>20</v>
      </c>
      <c r="W10" s="35">
        <v>21</v>
      </c>
      <c r="X10" s="35">
        <v>22</v>
      </c>
      <c r="Y10" s="35">
        <v>23</v>
      </c>
      <c r="Z10" s="38">
        <v>24</v>
      </c>
      <c r="AA10" s="34">
        <v>27</v>
      </c>
      <c r="AB10" s="35">
        <v>28</v>
      </c>
      <c r="AC10" s="35">
        <v>29</v>
      </c>
      <c r="AD10" s="35">
        <v>30</v>
      </c>
      <c r="AE10" s="36">
        <v>31</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c r="AB13" s="62"/>
      <c r="AC13" s="62"/>
      <c r="AD13" s="62" t="s">
        <v>24</v>
      </c>
      <c r="AE13" s="62" t="s">
        <v>24</v>
      </c>
      <c r="AF13" s="65">
        <f t="shared" ref="AF13:AF62"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c r="AB14" s="62"/>
      <c r="AC14" s="62"/>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c r="AB64" s="62"/>
      <c r="AC64" s="62" t="s">
        <v>24</v>
      </c>
      <c r="AD64" s="62" t="s">
        <v>24</v>
      </c>
      <c r="AE64" s="62" t="s">
        <v>24</v>
      </c>
      <c r="AF64" s="65">
        <f t="shared" ref="AF64:AF113" si="4">IF(B64="","",COUNTIF(G64:AE64,"x")+COUNTIF(G64:AE64,"h")*0.5)</f>
      </c>
      <c r="AG64" s="66">
        <f>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c r="AB65" s="62"/>
      <c r="AC65" s="62"/>
      <c r="AD65" s="62" t="s">
        <v>24</v>
      </c>
      <c r="AE65" s="62" t="s">
        <v>24</v>
      </c>
      <c r="AF65" s="72">
        <f t="shared" si="4"/>
      </c>
      <c r="AG65" s="73">
        <f>IF(B65="","",$AJ$117-AF65)</f>
      </c>
      <c r="AH65" s="74"/>
      <c r="AI65" s="75"/>
      <c r="AJ65" s="75"/>
      <c r="AK65" s="75"/>
      <c r="AL65" s="75"/>
      <c r="AM65" s="76"/>
      <c r="AQ65" s="99" t="s">
        <v>24</v>
      </c>
    </row>
    <row r="66" ht="21.9" customHeight="1" spans="1:43" x14ac:dyDescent="0.25">
      <c r="A66" s="62">
        <v>3</v>
      </c>
      <c r="B66" s="70" t="s">
        <v>39</v>
      </c>
      <c r="C66" s="75"/>
      <c r="D66" s="75"/>
      <c r="E66" s="75"/>
      <c r="F66" s="75"/>
      <c r="G66" s="62"/>
      <c r="H66" s="62"/>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c r="AB66" s="62"/>
      <c r="AC66" s="62" t="s">
        <v>24</v>
      </c>
      <c r="AD66" s="62" t="s">
        <v>24</v>
      </c>
      <c r="AE66" s="62" t="s">
        <v>24</v>
      </c>
      <c r="AF66" s="72">
        <f t="shared" si="4"/>
      </c>
      <c r="AG66" s="73">
        <f>IF(B66="","",$AJ$117-AF66)</f>
      </c>
      <c r="AH66" s="74"/>
      <c r="AI66" s="75"/>
      <c r="AJ66" s="75"/>
      <c r="AK66" s="75"/>
      <c r="AL66" s="75"/>
      <c r="AM66" s="76"/>
      <c r="AQ66" s="99" t="s">
        <v>24</v>
      </c>
    </row>
    <row r="67" ht="21.9" customHeight="1" spans="1:43" x14ac:dyDescent="0.25">
      <c r="A67" s="62">
        <v>4</v>
      </c>
      <c r="B67" s="70" t="s">
        <v>40</v>
      </c>
      <c r="C67" s="75"/>
      <c r="D67" s="75"/>
      <c r="E67" s="75"/>
      <c r="F67" s="75"/>
      <c r="G67" s="62"/>
      <c r="H67" s="62"/>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4"/>
      </c>
      <c r="AG67" s="73">
        <f>IF(B67="","",$AJ$117-AF67)</f>
      </c>
      <c r="AH67" s="74"/>
      <c r="AI67" s="75"/>
      <c r="AJ67" s="75"/>
      <c r="AK67" s="75"/>
      <c r="AL67" s="75"/>
      <c r="AM67" s="76"/>
      <c r="AQ67" s="99" t="s">
        <v>24</v>
      </c>
    </row>
    <row r="68" ht="21.9" customHeight="1" spans="1:43" x14ac:dyDescent="0.25">
      <c r="A68" s="62">
        <v>5</v>
      </c>
      <c r="B68" s="70" t="s">
        <v>41</v>
      </c>
      <c r="C68" s="75"/>
      <c r="D68" s="75"/>
      <c r="E68" s="75"/>
      <c r="F68" s="75"/>
      <c r="G68" s="62"/>
      <c r="H68" s="62"/>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c r="Z68" s="62" t="s">
        <v>24</v>
      </c>
      <c r="AA68" s="62" t="s">
        <v>24</v>
      </c>
      <c r="AB68" s="62" t="s">
        <v>24</v>
      </c>
      <c r="AC68" s="62" t="s">
        <v>24</v>
      </c>
      <c r="AD68" s="62" t="s">
        <v>24</v>
      </c>
      <c r="AE68" s="62" t="s">
        <v>24</v>
      </c>
      <c r="AF68" s="72"/>
      <c r="AG68" s="73"/>
      <c r="AH68" s="74"/>
      <c r="AI68" s="75"/>
      <c r="AJ68" s="75"/>
      <c r="AK68" s="75"/>
      <c r="AL68" s="75"/>
      <c r="AM68" s="76"/>
      <c r="AQ68" s="216"/>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37"/>
      <c r="I118" s="1"/>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1"/>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I138" s="1"/>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I141" s="1"/>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I143" s="1"/>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9:43" x14ac:dyDescent="0.25">
      <c r="I147" s="1"/>
      <c r="J147" s="1"/>
      <c r="K147" s="1"/>
      <c r="L147" s="1"/>
      <c r="M147" s="1"/>
      <c r="N147" s="1"/>
      <c r="O147" s="1"/>
      <c r="P147" s="1"/>
      <c r="Q147" s="1"/>
      <c r="R147" s="1"/>
      <c r="S147" s="1"/>
      <c r="T147" s="1"/>
      <c r="U147" s="1"/>
      <c r="V147" s="1"/>
      <c r="W147" s="1"/>
      <c r="X147" s="1"/>
      <c r="Y147" s="1"/>
      <c r="Z147" s="1"/>
      <c r="AA147" s="1"/>
      <c r="AB147" s="1"/>
      <c r="AC147" s="1"/>
      <c r="AD147" s="1"/>
      <c r="AE147" s="1"/>
      <c r="AQ147" s="1"/>
    </row>
    <row r="148" spans="9:43" x14ac:dyDescent="0.25">
      <c r="I148" s="1"/>
      <c r="J148" s="1"/>
      <c r="K148" s="1"/>
      <c r="L148" s="1"/>
      <c r="M148" s="1"/>
      <c r="N148" s="1"/>
      <c r="O148" s="1"/>
      <c r="P148" s="1"/>
      <c r="Q148" s="1"/>
      <c r="R148" s="1"/>
      <c r="S148" s="1"/>
      <c r="T148" s="1"/>
      <c r="U148" s="1"/>
      <c r="V148" s="1"/>
      <c r="W148" s="1"/>
      <c r="X148" s="1"/>
      <c r="Y148" s="1"/>
      <c r="Z148" s="1"/>
      <c r="AA148" s="1"/>
      <c r="AB148" s="1"/>
      <c r="AC148" s="1"/>
      <c r="AD148" s="1"/>
      <c r="AE148" s="1"/>
      <c r="AQ148" s="1"/>
    </row>
    <row r="149" spans="9:43" x14ac:dyDescent="0.25">
      <c r="I149" s="1"/>
      <c r="J149" s="1"/>
      <c r="K149" s="1"/>
      <c r="L149" s="1"/>
      <c r="M149" s="1"/>
      <c r="N149" s="1"/>
      <c r="O149" s="1"/>
      <c r="P149" s="1"/>
      <c r="Q149" s="1"/>
      <c r="R149" s="1"/>
      <c r="S149" s="1"/>
      <c r="T149" s="1"/>
      <c r="U149" s="1"/>
      <c r="V149" s="1"/>
      <c r="W149" s="1"/>
      <c r="X149" s="1"/>
      <c r="Y149" s="1"/>
      <c r="Z149" s="1"/>
      <c r="AA149" s="1"/>
      <c r="AB149" s="1"/>
      <c r="AC149" s="1"/>
      <c r="AD149" s="1"/>
      <c r="AE149" s="1"/>
      <c r="AQ149" s="1"/>
    </row>
    <row r="150" spans="9:43" x14ac:dyDescent="0.25">
      <c r="I150" s="1"/>
      <c r="J150" s="1"/>
      <c r="K150" s="1"/>
      <c r="L150" s="1"/>
      <c r="M150" s="1"/>
      <c r="N150" s="1"/>
      <c r="O150" s="1"/>
      <c r="P150" s="1"/>
      <c r="Q150" s="1"/>
      <c r="R150" s="1"/>
      <c r="S150" s="1"/>
      <c r="T150" s="1"/>
      <c r="U150" s="1"/>
      <c r="V150" s="1"/>
      <c r="W150" s="1"/>
      <c r="X150" s="1"/>
      <c r="Y150" s="1"/>
      <c r="Z150" s="1"/>
      <c r="AA150" s="1"/>
      <c r="AB150" s="1"/>
      <c r="AC150" s="1"/>
      <c r="AD150" s="1"/>
      <c r="AE150" s="1"/>
      <c r="AQ150" s="1"/>
    </row>
    <row r="151" spans="9:43" x14ac:dyDescent="0.25">
      <c r="I151" s="1"/>
      <c r="J151" s="1"/>
      <c r="K151" s="1"/>
      <c r="L151" s="1"/>
      <c r="M151" s="1"/>
      <c r="N151" s="1"/>
      <c r="O151" s="1"/>
      <c r="P151" s="1"/>
      <c r="Q151" s="1"/>
      <c r="R151" s="1"/>
      <c r="S151" s="1"/>
      <c r="T151" s="1"/>
      <c r="U151" s="1"/>
      <c r="V151" s="1"/>
      <c r="W151" s="1"/>
      <c r="X151" s="1"/>
      <c r="Y151" s="1"/>
      <c r="Z151" s="1"/>
      <c r="AA151" s="1"/>
      <c r="AB151" s="1"/>
      <c r="AC151" s="1"/>
      <c r="AD151" s="1"/>
      <c r="AE151" s="1"/>
      <c r="AQ151" s="1"/>
    </row>
    <row r="152" spans="9:43" x14ac:dyDescent="0.25">
      <c r="I152" s="1"/>
      <c r="J152" s="1"/>
      <c r="K152" s="1"/>
      <c r="L152" s="1"/>
      <c r="M152" s="1"/>
      <c r="N152" s="1"/>
      <c r="O152" s="1"/>
      <c r="P152" s="1"/>
      <c r="Q152" s="1"/>
      <c r="R152" s="1"/>
      <c r="S152" s="1"/>
      <c r="T152" s="1"/>
      <c r="U152" s="1"/>
      <c r="V152" s="1"/>
      <c r="W152" s="1"/>
      <c r="X152" s="1"/>
      <c r="Y152" s="1"/>
      <c r="Z152" s="1"/>
      <c r="AA152" s="1"/>
      <c r="AB152" s="1"/>
      <c r="AC152" s="1"/>
      <c r="AD152" s="1"/>
      <c r="AE152" s="1"/>
      <c r="AQ152" s="1"/>
    </row>
    <row r="153" spans="9:43" x14ac:dyDescent="0.25">
      <c r="I153" s="1"/>
      <c r="J153" s="1"/>
      <c r="K153" s="1"/>
      <c r="L153" s="1"/>
      <c r="M153" s="1"/>
      <c r="N153" s="1"/>
      <c r="O153" s="1"/>
      <c r="P153" s="1"/>
      <c r="Q153" s="1"/>
      <c r="R153" s="1"/>
      <c r="S153" s="1"/>
      <c r="T153" s="1"/>
      <c r="U153" s="1"/>
      <c r="V153" s="1"/>
      <c r="W153" s="1"/>
      <c r="X153" s="1"/>
      <c r="Y153" s="1"/>
      <c r="Z153" s="1"/>
      <c r="AA153" s="1"/>
      <c r="AB153" s="1"/>
      <c r="AC153" s="1"/>
      <c r="AD153" s="1"/>
      <c r="AE153" s="1"/>
      <c r="AQ153" s="1"/>
    </row>
    <row r="154" spans="9:43" x14ac:dyDescent="0.25">
      <c r="I154" s="1"/>
      <c r="J154" s="1"/>
      <c r="K154" s="1"/>
      <c r="L154" s="1"/>
      <c r="M154" s="1"/>
      <c r="N154" s="1"/>
      <c r="O154" s="1"/>
      <c r="P154" s="1"/>
      <c r="Q154" s="1"/>
      <c r="R154" s="1"/>
      <c r="S154" s="1"/>
      <c r="T154" s="1"/>
      <c r="U154" s="1"/>
      <c r="V154" s="1"/>
      <c r="W154" s="1"/>
      <c r="X154" s="1"/>
      <c r="Y154" s="1"/>
      <c r="Z154" s="1"/>
      <c r="AA154" s="1"/>
      <c r="AB154" s="1"/>
      <c r="AC154" s="1"/>
      <c r="AD154" s="1"/>
      <c r="AE154" s="1"/>
      <c r="AQ154" s="1"/>
    </row>
    <row r="155" spans="9:43" x14ac:dyDescent="0.25">
      <c r="I155" s="1"/>
      <c r="J155" s="1"/>
      <c r="K155" s="1"/>
      <c r="L155" s="1"/>
      <c r="M155" s="1"/>
      <c r="N155" s="1"/>
      <c r="O155" s="1"/>
      <c r="P155" s="1"/>
      <c r="Q155" s="1"/>
      <c r="R155" s="1"/>
      <c r="S155" s="1"/>
      <c r="T155" s="1"/>
      <c r="U155" s="1"/>
      <c r="V155" s="1"/>
      <c r="W155" s="1"/>
      <c r="X155" s="1"/>
      <c r="Y155" s="1"/>
      <c r="Z155" s="1"/>
      <c r="AA155" s="1"/>
      <c r="AB155" s="1"/>
      <c r="AC155" s="1"/>
      <c r="AD155" s="1"/>
      <c r="AE155" s="1"/>
      <c r="AQ155" s="1"/>
    </row>
    <row r="156" spans="9:43" x14ac:dyDescent="0.25">
      <c r="I156" s="1"/>
      <c r="J156" s="1"/>
      <c r="K156" s="1"/>
      <c r="L156" s="1"/>
      <c r="M156" s="1"/>
      <c r="N156" s="1"/>
      <c r="O156" s="1"/>
      <c r="P156" s="1"/>
      <c r="Q156" s="1"/>
      <c r="R156" s="1"/>
      <c r="S156" s="1"/>
      <c r="T156" s="1"/>
      <c r="U156" s="1"/>
      <c r="V156" s="1"/>
      <c r="W156" s="1"/>
      <c r="X156" s="1"/>
      <c r="Y156" s="1"/>
      <c r="Z156" s="1"/>
      <c r="AA156" s="1"/>
      <c r="AB156" s="1"/>
      <c r="AC156" s="1"/>
      <c r="AD156" s="1"/>
      <c r="AE156" s="1"/>
      <c r="AQ156" s="1"/>
    </row>
    <row r="157" spans="9:43" x14ac:dyDescent="0.25">
      <c r="I157" s="1"/>
      <c r="J157" s="1"/>
      <c r="K157" s="1"/>
      <c r="L157" s="1"/>
      <c r="M157" s="1"/>
      <c r="N157" s="1"/>
      <c r="O157" s="1"/>
      <c r="P157" s="1"/>
      <c r="Q157" s="1"/>
      <c r="R157" s="1"/>
      <c r="S157" s="1"/>
      <c r="T157" s="1"/>
      <c r="U157" s="1"/>
      <c r="V157" s="1"/>
      <c r="W157" s="1"/>
      <c r="X157" s="1"/>
      <c r="Y157" s="1"/>
      <c r="Z157" s="1"/>
      <c r="AA157" s="1"/>
      <c r="AB157" s="1"/>
      <c r="AC157" s="1"/>
      <c r="AD157" s="1"/>
      <c r="AE157" s="1"/>
      <c r="AQ157" s="1"/>
    </row>
    <row r="158" spans="9:43" x14ac:dyDescent="0.25">
      <c r="I158" s="1"/>
      <c r="J158" s="1"/>
      <c r="K158" s="1"/>
      <c r="L158" s="1"/>
      <c r="M158" s="1"/>
      <c r="N158" s="1"/>
      <c r="O158" s="1"/>
      <c r="P158" s="1"/>
      <c r="Q158" s="1"/>
      <c r="R158" s="1"/>
      <c r="S158" s="1"/>
      <c r="T158" s="1"/>
      <c r="U158" s="1"/>
      <c r="V158" s="1"/>
      <c r="W158" s="1"/>
      <c r="X158" s="1"/>
      <c r="Y158" s="1"/>
      <c r="Z158" s="1"/>
      <c r="AA158" s="1"/>
      <c r="AB158" s="1"/>
      <c r="AC158" s="1"/>
      <c r="AD158" s="1"/>
      <c r="AE158" s="1"/>
      <c r="AQ158" s="1"/>
    </row>
    <row r="159" spans="9:43" x14ac:dyDescent="0.25">
      <c r="I159" s="1"/>
      <c r="J159" s="1"/>
      <c r="K159" s="1"/>
      <c r="L159" s="1"/>
      <c r="M159" s="1"/>
      <c r="N159" s="1"/>
      <c r="O159" s="1"/>
      <c r="P159" s="1"/>
      <c r="Q159" s="1"/>
      <c r="R159" s="1"/>
      <c r="S159" s="1"/>
      <c r="T159" s="1"/>
      <c r="U159" s="1"/>
      <c r="V159" s="1"/>
      <c r="W159" s="1"/>
      <c r="X159" s="1"/>
      <c r="Y159" s="1"/>
      <c r="Z159" s="1"/>
      <c r="AA159" s="1"/>
      <c r="AB159" s="1"/>
      <c r="AC159" s="1"/>
      <c r="AD159" s="1"/>
      <c r="AE159" s="1"/>
      <c r="AQ159" s="1"/>
    </row>
    <row r="160" spans="9:43" x14ac:dyDescent="0.25">
      <c r="I160" s="1"/>
      <c r="J160" s="1"/>
      <c r="K160" s="1"/>
      <c r="L160" s="1"/>
      <c r="M160" s="1"/>
      <c r="N160" s="1"/>
      <c r="O160" s="1"/>
      <c r="P160" s="1"/>
      <c r="Q160" s="1"/>
      <c r="R160" s="1"/>
      <c r="S160" s="1"/>
      <c r="T160" s="1"/>
      <c r="U160" s="1"/>
      <c r="V160" s="1"/>
      <c r="W160" s="1"/>
      <c r="X160" s="1"/>
      <c r="Y160" s="1"/>
      <c r="Z160" s="1"/>
      <c r="AA160" s="1"/>
      <c r="AB160" s="1"/>
      <c r="AC160" s="1"/>
      <c r="AD160" s="1"/>
      <c r="AE160" s="1"/>
      <c r="AQ160" s="1"/>
    </row>
    <row r="161" spans="9:43" x14ac:dyDescent="0.25">
      <c r="I161" s="1"/>
      <c r="J161" s="1"/>
      <c r="K161" s="1"/>
      <c r="L161" s="1"/>
      <c r="M161" s="1"/>
      <c r="N161" s="1"/>
      <c r="O161" s="1"/>
      <c r="P161" s="1"/>
      <c r="Q161" s="1"/>
      <c r="R161" s="1"/>
      <c r="S161" s="1"/>
      <c r="T161" s="1"/>
      <c r="U161" s="1"/>
      <c r="V161" s="1"/>
      <c r="W161" s="1"/>
      <c r="X161" s="1"/>
      <c r="Y161" s="1"/>
      <c r="Z161" s="1"/>
      <c r="AA161" s="1"/>
      <c r="AB161" s="1"/>
      <c r="AC161" s="1"/>
      <c r="AD161" s="1"/>
      <c r="AE161" s="1"/>
      <c r="AQ161" s="1"/>
    </row>
    <row r="162" spans="9:43" x14ac:dyDescent="0.25">
      <c r="I162" s="1"/>
      <c r="J162" s="1"/>
      <c r="K162" s="1"/>
      <c r="L162" s="1"/>
      <c r="M162" s="1"/>
      <c r="N162" s="1"/>
      <c r="O162" s="1"/>
      <c r="P162" s="1"/>
      <c r="Q162" s="1"/>
      <c r="R162" s="1"/>
      <c r="S162" s="1"/>
      <c r="T162" s="1"/>
      <c r="U162" s="1"/>
      <c r="V162" s="1"/>
      <c r="W162" s="1"/>
      <c r="X162" s="1"/>
      <c r="Y162" s="1"/>
      <c r="Z162" s="1"/>
      <c r="AA162" s="1"/>
      <c r="AB162" s="1"/>
      <c r="AC162" s="1"/>
      <c r="AD162" s="1"/>
      <c r="AE162" s="1"/>
      <c r="AQ162" s="1"/>
    </row>
    <row r="163" spans="9:43" x14ac:dyDescent="0.25">
      <c r="I163" s="1"/>
      <c r="J163" s="1"/>
      <c r="K163" s="1"/>
      <c r="L163" s="1"/>
      <c r="M163" s="1"/>
      <c r="N163" s="1"/>
      <c r="O163" s="1"/>
      <c r="P163" s="1"/>
      <c r="Q163" s="1"/>
      <c r="R163" s="1"/>
      <c r="S163" s="1"/>
      <c r="T163" s="1"/>
      <c r="U163" s="1"/>
      <c r="V163" s="1"/>
      <c r="W163" s="1"/>
      <c r="X163" s="1"/>
      <c r="Y163" s="1"/>
      <c r="Z163" s="1"/>
      <c r="AA163" s="1"/>
      <c r="AB163" s="1"/>
      <c r="AC163" s="1"/>
      <c r="AD163" s="1"/>
      <c r="AE163" s="1"/>
      <c r="AQ163" s="1"/>
    </row>
    <row r="164" spans="9:43" x14ac:dyDescent="0.25">
      <c r="I164" s="1"/>
      <c r="J164" s="1"/>
      <c r="K164" s="1"/>
      <c r="L164" s="1"/>
      <c r="M164" s="1"/>
      <c r="N164" s="1"/>
      <c r="O164" s="1"/>
      <c r="P164" s="1"/>
      <c r="Q164" s="1"/>
      <c r="R164" s="1"/>
      <c r="S164" s="1"/>
      <c r="T164" s="1"/>
      <c r="U164" s="1"/>
      <c r="V164" s="1"/>
      <c r="W164" s="1"/>
      <c r="X164" s="1"/>
      <c r="Y164" s="1"/>
      <c r="Z164" s="1"/>
      <c r="AA164" s="1"/>
      <c r="AB164" s="1"/>
      <c r="AC164" s="1"/>
      <c r="AD164" s="1"/>
      <c r="AE164" s="1"/>
      <c r="AQ164" s="1"/>
    </row>
    <row r="165" spans="9:43" x14ac:dyDescent="0.25">
      <c r="I165" s="1"/>
      <c r="J165" s="1"/>
      <c r="K165" s="1"/>
      <c r="L165" s="1"/>
      <c r="M165" s="1"/>
      <c r="N165" s="1"/>
      <c r="O165" s="1"/>
      <c r="P165" s="1"/>
      <c r="Q165" s="1"/>
      <c r="R165" s="1"/>
      <c r="S165" s="1"/>
      <c r="T165" s="1"/>
      <c r="U165" s="1"/>
      <c r="V165" s="1"/>
      <c r="W165" s="1"/>
      <c r="X165" s="1"/>
      <c r="Y165" s="1"/>
      <c r="Z165" s="1"/>
      <c r="AA165" s="1"/>
      <c r="AB165" s="1"/>
      <c r="AC165" s="1"/>
      <c r="AD165" s="1"/>
      <c r="AE165" s="1"/>
      <c r="AQ165" s="1"/>
    </row>
    <row r="166" spans="9:43" x14ac:dyDescent="0.25">
      <c r="I166" s="1"/>
      <c r="J166" s="1"/>
      <c r="K166" s="1"/>
      <c r="L166" s="1"/>
      <c r="M166" s="1"/>
      <c r="N166" s="1"/>
      <c r="O166" s="1"/>
      <c r="P166" s="1"/>
      <c r="Q166" s="1"/>
      <c r="R166" s="1"/>
      <c r="S166" s="1"/>
      <c r="T166" s="1"/>
      <c r="U166" s="1"/>
      <c r="V166" s="1"/>
      <c r="W166" s="1"/>
      <c r="X166" s="1"/>
      <c r="Y166" s="1"/>
      <c r="Z166" s="1"/>
      <c r="AA166" s="1"/>
      <c r="AB166" s="1"/>
      <c r="AC166" s="1"/>
      <c r="AD166" s="1"/>
      <c r="AE166" s="1"/>
      <c r="AQ166" s="1"/>
    </row>
    <row r="167" spans="9:43" x14ac:dyDescent="0.25">
      <c r="I167" s="1"/>
      <c r="J167" s="1"/>
      <c r="K167" s="1"/>
      <c r="L167" s="1"/>
      <c r="M167" s="1"/>
      <c r="N167" s="1"/>
      <c r="O167" s="1"/>
      <c r="P167" s="1"/>
      <c r="Q167" s="1"/>
      <c r="R167" s="1"/>
      <c r="S167" s="1"/>
      <c r="T167" s="1"/>
      <c r="U167" s="1"/>
      <c r="V167" s="1"/>
      <c r="W167" s="1"/>
      <c r="X167" s="1"/>
      <c r="Y167" s="1"/>
      <c r="Z167" s="1"/>
      <c r="AA167" s="1"/>
      <c r="AB167" s="1"/>
      <c r="AC167" s="1"/>
      <c r="AD167" s="1"/>
      <c r="AE167" s="1"/>
      <c r="AQ167" s="1"/>
    </row>
    <row r="168" spans="9:43" x14ac:dyDescent="0.25">
      <c r="I168" s="1"/>
      <c r="J168" s="1"/>
      <c r="K168" s="1"/>
      <c r="L168" s="1"/>
      <c r="M168" s="1"/>
      <c r="N168" s="1"/>
      <c r="O168" s="1"/>
      <c r="P168" s="1"/>
      <c r="Q168" s="1"/>
      <c r="R168" s="1"/>
      <c r="S168" s="1"/>
      <c r="T168" s="1"/>
      <c r="U168" s="1"/>
      <c r="V168" s="1"/>
      <c r="W168" s="1"/>
      <c r="X168" s="1"/>
      <c r="Y168" s="1"/>
      <c r="Z168" s="1"/>
      <c r="AA168" s="1"/>
      <c r="AB168" s="1"/>
      <c r="AC168" s="1"/>
      <c r="AD168" s="1"/>
      <c r="AE168" s="1"/>
      <c r="AQ168" s="1"/>
    </row>
    <row r="169" spans="9:43" x14ac:dyDescent="0.25">
      <c r="I169" s="1"/>
      <c r="J169" s="1"/>
      <c r="K169" s="1"/>
      <c r="L169" s="1"/>
      <c r="M169" s="1"/>
      <c r="N169" s="1"/>
      <c r="O169" s="1"/>
      <c r="P169" s="1"/>
      <c r="Q169" s="1"/>
      <c r="R169" s="1"/>
      <c r="S169" s="1"/>
      <c r="T169" s="1"/>
      <c r="U169" s="1"/>
      <c r="V169" s="1"/>
      <c r="W169" s="1"/>
      <c r="X169" s="1"/>
      <c r="Y169" s="1"/>
      <c r="Z169" s="1"/>
      <c r="AA169" s="1"/>
      <c r="AB169" s="1"/>
      <c r="AC169" s="1"/>
      <c r="AD169" s="1"/>
      <c r="AE169" s="1"/>
      <c r="AQ169" s="1"/>
    </row>
    <row r="170" spans="9:43" x14ac:dyDescent="0.25">
      <c r="I170" s="1"/>
      <c r="J170" s="1"/>
      <c r="K170" s="1"/>
      <c r="L170" s="1"/>
      <c r="M170" s="1"/>
      <c r="N170" s="1"/>
      <c r="O170" s="1"/>
      <c r="P170" s="1"/>
      <c r="Q170" s="1"/>
      <c r="R170" s="1"/>
      <c r="S170" s="1"/>
      <c r="T170" s="1"/>
      <c r="U170" s="1"/>
      <c r="V170" s="1"/>
      <c r="W170" s="1"/>
      <c r="X170" s="1"/>
      <c r="Y170" s="1"/>
      <c r="Z170" s="1"/>
      <c r="AA170" s="1"/>
      <c r="AB170" s="1"/>
      <c r="AC170" s="1"/>
      <c r="AD170" s="1"/>
      <c r="AE170" s="1"/>
      <c r="AQ170" s="1"/>
    </row>
    <row r="171" spans="9:43" x14ac:dyDescent="0.25">
      <c r="I171" s="1"/>
      <c r="J171" s="1"/>
      <c r="K171" s="1"/>
      <c r="L171" s="1"/>
      <c r="M171" s="1"/>
      <c r="N171" s="1"/>
      <c r="O171" s="1"/>
      <c r="P171" s="1"/>
      <c r="Q171" s="1"/>
      <c r="R171" s="1"/>
      <c r="S171" s="1"/>
      <c r="T171" s="1"/>
      <c r="U171" s="1"/>
      <c r="V171" s="1"/>
      <c r="W171" s="1"/>
      <c r="X171" s="1"/>
      <c r="Y171" s="1"/>
      <c r="Z171" s="1"/>
      <c r="AA171" s="1"/>
      <c r="AB171" s="1"/>
      <c r="AC171" s="1"/>
      <c r="AD171" s="1"/>
      <c r="AE171" s="1"/>
      <c r="AQ171" s="1"/>
    </row>
    <row r="172" spans="9:43" x14ac:dyDescent="0.25">
      <c r="I172" s="1"/>
      <c r="J172" s="1"/>
      <c r="K172" s="1"/>
      <c r="L172" s="1"/>
      <c r="M172" s="1"/>
      <c r="N172" s="1"/>
      <c r="O172" s="1"/>
      <c r="P172" s="1"/>
      <c r="Q172" s="1"/>
      <c r="R172" s="1"/>
      <c r="S172" s="1"/>
      <c r="T172" s="1"/>
      <c r="U172" s="1"/>
      <c r="V172" s="1"/>
      <c r="W172" s="1"/>
      <c r="X172" s="1"/>
      <c r="Y172" s="1"/>
      <c r="Z172" s="1"/>
      <c r="AA172" s="1"/>
      <c r="AB172" s="1"/>
      <c r="AC172" s="1"/>
      <c r="AD172" s="1"/>
      <c r="AE172" s="1"/>
      <c r="AQ172" s="1"/>
    </row>
    <row r="173" spans="9:43" x14ac:dyDescent="0.25">
      <c r="I173" s="1"/>
      <c r="J173" s="1"/>
      <c r="K173" s="1"/>
      <c r="L173" s="1"/>
      <c r="M173" s="1"/>
      <c r="N173" s="1"/>
      <c r="O173" s="1"/>
      <c r="P173" s="1"/>
      <c r="Q173" s="1"/>
      <c r="R173" s="1"/>
      <c r="S173" s="1"/>
      <c r="T173" s="1"/>
      <c r="U173" s="1"/>
      <c r="V173" s="1"/>
      <c r="W173" s="1"/>
      <c r="X173" s="1"/>
      <c r="Y173" s="1"/>
      <c r="Z173" s="1"/>
      <c r="AA173" s="1"/>
      <c r="AB173" s="1"/>
      <c r="AC173" s="1"/>
      <c r="AD173" s="1"/>
      <c r="AE173" s="1"/>
      <c r="AQ173" s="1"/>
    </row>
    <row r="174" spans="9:43" x14ac:dyDescent="0.25">
      <c r="I174" s="1"/>
      <c r="J174" s="1"/>
      <c r="K174" s="1"/>
      <c r="L174" s="1"/>
      <c r="M174" s="1"/>
      <c r="N174" s="1"/>
      <c r="O174" s="1"/>
      <c r="P174" s="1"/>
      <c r="Q174" s="1"/>
      <c r="R174" s="1"/>
      <c r="S174" s="1"/>
      <c r="T174" s="1"/>
      <c r="U174" s="1"/>
      <c r="V174" s="1"/>
      <c r="W174" s="1"/>
      <c r="X174" s="1"/>
      <c r="Y174" s="1"/>
      <c r="Z174" s="1"/>
      <c r="AA174" s="1"/>
      <c r="AB174" s="1"/>
      <c r="AC174" s="1"/>
      <c r="AD174" s="1"/>
      <c r="AE174" s="1"/>
      <c r="AQ174" s="1"/>
    </row>
    <row r="175" spans="9:43" x14ac:dyDescent="0.25">
      <c r="I175" s="1"/>
      <c r="J175" s="1"/>
      <c r="K175" s="1"/>
      <c r="L175" s="1"/>
      <c r="M175" s="1"/>
      <c r="N175" s="1"/>
      <c r="O175" s="1"/>
      <c r="P175" s="1"/>
      <c r="Q175" s="1"/>
      <c r="R175" s="1"/>
      <c r="S175" s="1"/>
      <c r="T175" s="1"/>
      <c r="U175" s="1"/>
      <c r="V175" s="1"/>
      <c r="W175" s="1"/>
      <c r="X175" s="1"/>
      <c r="Y175" s="1"/>
      <c r="Z175" s="1"/>
      <c r="AA175" s="1"/>
      <c r="AB175" s="1"/>
      <c r="AC175" s="1"/>
      <c r="AD175" s="1"/>
      <c r="AE175" s="1"/>
      <c r="AQ175" s="1"/>
    </row>
    <row r="176" spans="9:43" x14ac:dyDescent="0.25">
      <c r="I176" s="1"/>
      <c r="J176" s="1"/>
      <c r="K176" s="1"/>
      <c r="L176" s="1"/>
      <c r="M176" s="1"/>
      <c r="N176" s="1"/>
      <c r="O176" s="1"/>
      <c r="P176" s="1"/>
      <c r="Q176" s="1"/>
      <c r="R176" s="1"/>
      <c r="S176" s="1"/>
      <c r="T176" s="1"/>
      <c r="U176" s="1"/>
      <c r="V176" s="1"/>
      <c r="W176" s="1"/>
      <c r="X176" s="1"/>
      <c r="Y176" s="1"/>
      <c r="Z176" s="1"/>
      <c r="AA176" s="1"/>
      <c r="AB176" s="1"/>
      <c r="AC176" s="1"/>
      <c r="AD176" s="1"/>
      <c r="AE176" s="1"/>
      <c r="AQ176" s="1"/>
    </row>
    <row r="177" spans="9:43" x14ac:dyDescent="0.25">
      <c r="I177" s="1"/>
      <c r="J177" s="1"/>
      <c r="K177" s="1"/>
      <c r="L177" s="1"/>
      <c r="M177" s="1"/>
      <c r="N177" s="1"/>
      <c r="O177" s="1"/>
      <c r="P177" s="1"/>
      <c r="Q177" s="1"/>
      <c r="R177" s="1"/>
      <c r="S177" s="1"/>
      <c r="T177" s="1"/>
      <c r="U177" s="1"/>
      <c r="V177" s="1"/>
      <c r="W177" s="1"/>
      <c r="X177" s="1"/>
      <c r="Y177" s="1"/>
      <c r="Z177" s="1"/>
      <c r="AA177" s="1"/>
      <c r="AB177" s="1"/>
      <c r="AC177" s="1"/>
      <c r="AD177" s="1"/>
      <c r="AE177" s="1"/>
      <c r="AQ177" s="1"/>
    </row>
    <row r="178" spans="9:43" x14ac:dyDescent="0.25">
      <c r="I178" s="1"/>
      <c r="J178" s="1"/>
      <c r="K178" s="1"/>
      <c r="L178" s="1"/>
      <c r="M178" s="1"/>
      <c r="N178" s="1"/>
      <c r="O178" s="1"/>
      <c r="P178" s="1"/>
      <c r="Q178" s="1"/>
      <c r="R178" s="1"/>
      <c r="S178" s="1"/>
      <c r="T178" s="1"/>
      <c r="U178" s="1"/>
      <c r="V178" s="1"/>
      <c r="W178" s="1"/>
      <c r="X178" s="1"/>
      <c r="Y178" s="1"/>
      <c r="Z178" s="1"/>
      <c r="AA178" s="1"/>
      <c r="AB178" s="1"/>
      <c r="AC178" s="1"/>
      <c r="AD178" s="1"/>
      <c r="AE178" s="1"/>
      <c r="AQ178" s="1"/>
    </row>
    <row r="179" spans="9:43" x14ac:dyDescent="0.25">
      <c r="I179" s="1"/>
      <c r="J179" s="1"/>
      <c r="K179" s="1"/>
      <c r="L179" s="1"/>
      <c r="M179" s="1"/>
      <c r="N179" s="1"/>
      <c r="O179" s="1"/>
      <c r="P179" s="1"/>
      <c r="Q179" s="1"/>
      <c r="R179" s="1"/>
      <c r="S179" s="1"/>
      <c r="T179" s="1"/>
      <c r="U179" s="1"/>
      <c r="V179" s="1"/>
      <c r="W179" s="1"/>
      <c r="X179" s="1"/>
      <c r="Y179" s="1"/>
      <c r="Z179" s="1"/>
      <c r="AA179" s="1"/>
      <c r="AB179" s="1"/>
      <c r="AC179" s="1"/>
      <c r="AD179" s="1"/>
      <c r="AE179" s="1"/>
      <c r="AQ179" s="1"/>
    </row>
    <row r="180" spans="9:43" x14ac:dyDescent="0.25">
      <c r="I180" s="1"/>
      <c r="J180" s="1"/>
      <c r="K180" s="1"/>
      <c r="L180" s="1"/>
      <c r="M180" s="1"/>
      <c r="N180" s="1"/>
      <c r="O180" s="1"/>
      <c r="P180" s="1"/>
      <c r="Q180" s="1"/>
      <c r="R180" s="1"/>
      <c r="S180" s="1"/>
      <c r="T180" s="1"/>
      <c r="U180" s="1"/>
      <c r="V180" s="1"/>
      <c r="W180" s="1"/>
      <c r="X180" s="1"/>
      <c r="Y180" s="1"/>
      <c r="Z180" s="1"/>
      <c r="AA180" s="1"/>
      <c r="AB180" s="1"/>
      <c r="AC180" s="1"/>
      <c r="AD180" s="1"/>
      <c r="AE180" s="1"/>
      <c r="AQ180" s="1"/>
    </row>
    <row r="181" spans="9:43" x14ac:dyDescent="0.25">
      <c r="I181" s="1"/>
      <c r="J181" s="1"/>
      <c r="K181" s="1"/>
      <c r="L181" s="1"/>
      <c r="M181" s="1"/>
      <c r="N181" s="1"/>
      <c r="O181" s="1"/>
      <c r="P181" s="1"/>
      <c r="Q181" s="1"/>
      <c r="R181" s="1"/>
      <c r="S181" s="1"/>
      <c r="T181" s="1"/>
      <c r="U181" s="1"/>
      <c r="V181" s="1"/>
      <c r="W181" s="1"/>
      <c r="X181" s="1"/>
      <c r="Y181" s="1"/>
      <c r="Z181" s="1"/>
      <c r="AA181" s="1"/>
      <c r="AB181" s="1"/>
      <c r="AC181" s="1"/>
      <c r="AD181" s="1"/>
      <c r="AE181" s="1"/>
      <c r="AQ181" s="1"/>
    </row>
    <row r="182" spans="9:43" x14ac:dyDescent="0.25">
      <c r="I182" s="1"/>
      <c r="J182" s="1"/>
      <c r="K182" s="1"/>
      <c r="L182" s="1"/>
      <c r="M182" s="1"/>
      <c r="N182" s="1"/>
      <c r="O182" s="1"/>
      <c r="P182" s="1"/>
      <c r="Q182" s="1"/>
      <c r="R182" s="1"/>
      <c r="S182" s="1"/>
      <c r="T182" s="1"/>
      <c r="U182" s="1"/>
      <c r="V182" s="1"/>
      <c r="W182" s="1"/>
      <c r="X182" s="1"/>
      <c r="Y182" s="1"/>
      <c r="Z182" s="1"/>
      <c r="AA182" s="1"/>
      <c r="AB182" s="1"/>
      <c r="AC182" s="1"/>
      <c r="AD182" s="1"/>
      <c r="AE182" s="1"/>
      <c r="AQ182" s="1"/>
    </row>
    <row r="183" spans="9:43" x14ac:dyDescent="0.25">
      <c r="I183" s="1"/>
      <c r="J183" s="1"/>
      <c r="K183" s="1"/>
      <c r="L183" s="1"/>
      <c r="M183" s="1"/>
      <c r="N183" s="1"/>
      <c r="O183" s="1"/>
      <c r="P183" s="1"/>
      <c r="Q183" s="1"/>
      <c r="R183" s="1"/>
      <c r="S183" s="1"/>
      <c r="T183" s="1"/>
      <c r="U183" s="1"/>
      <c r="V183" s="1"/>
      <c r="W183" s="1"/>
      <c r="X183" s="1"/>
      <c r="Y183" s="1"/>
      <c r="Z183" s="1"/>
      <c r="AA183" s="1"/>
      <c r="AB183" s="1"/>
      <c r="AC183" s="1"/>
      <c r="AD183" s="1"/>
      <c r="AE183" s="1"/>
      <c r="AQ183" s="1"/>
    </row>
    <row r="184" spans="9:43" x14ac:dyDescent="0.25">
      <c r="I184" s="1"/>
      <c r="J184" s="1"/>
      <c r="K184" s="1"/>
      <c r="L184" s="1"/>
      <c r="M184" s="1"/>
      <c r="N184" s="1"/>
      <c r="O184" s="1"/>
      <c r="P184" s="1"/>
      <c r="Q184" s="1"/>
      <c r="R184" s="1"/>
      <c r="S184" s="1"/>
      <c r="T184" s="1"/>
      <c r="U184" s="1"/>
      <c r="V184" s="1"/>
      <c r="W184" s="1"/>
      <c r="X184" s="1"/>
      <c r="Y184" s="1"/>
      <c r="Z184" s="1"/>
      <c r="AA184" s="1"/>
      <c r="AB184" s="1"/>
      <c r="AC184" s="1"/>
      <c r="AD184" s="1"/>
      <c r="AE184" s="1"/>
      <c r="AQ184" s="1"/>
    </row>
    <row r="185" spans="9:43" x14ac:dyDescent="0.25">
      <c r="I185" s="1"/>
      <c r="J185" s="1"/>
      <c r="K185" s="1"/>
      <c r="L185" s="1"/>
      <c r="M185" s="1"/>
      <c r="N185" s="1"/>
      <c r="O185" s="1"/>
      <c r="P185" s="1"/>
      <c r="Q185" s="1"/>
      <c r="R185" s="1"/>
      <c r="S185" s="1"/>
      <c r="T185" s="1"/>
      <c r="U185" s="1"/>
      <c r="V185" s="1"/>
      <c r="W185" s="1"/>
      <c r="X185" s="1"/>
      <c r="Y185" s="1"/>
      <c r="Z185" s="1"/>
      <c r="AA185" s="1"/>
      <c r="AB185" s="1"/>
      <c r="AC185" s="1"/>
      <c r="AD185" s="1"/>
      <c r="AE185" s="1"/>
      <c r="AQ185" s="1"/>
    </row>
    <row r="186" spans="9:43" x14ac:dyDescent="0.25">
      <c r="I186" s="1"/>
      <c r="J186" s="1"/>
      <c r="K186" s="1"/>
      <c r="L186" s="1"/>
      <c r="M186" s="1"/>
      <c r="N186" s="1"/>
      <c r="O186" s="1"/>
      <c r="P186" s="1"/>
      <c r="Q186" s="1"/>
      <c r="R186" s="1"/>
      <c r="S186" s="1"/>
      <c r="T186" s="1"/>
      <c r="U186" s="1"/>
      <c r="V186" s="1"/>
      <c r="W186" s="1"/>
      <c r="X186" s="1"/>
      <c r="Y186" s="1"/>
      <c r="Z186" s="1"/>
      <c r="AA186" s="1"/>
      <c r="AB186" s="1"/>
      <c r="AC186" s="1"/>
      <c r="AD186" s="1"/>
      <c r="AE186" s="1"/>
      <c r="AQ186" s="1"/>
    </row>
    <row r="187" spans="9:43" x14ac:dyDescent="0.25">
      <c r="I187" s="1"/>
      <c r="J187" s="1"/>
      <c r="K187" s="1"/>
      <c r="L187" s="1"/>
      <c r="M187" s="1"/>
      <c r="N187" s="1"/>
      <c r="O187" s="1"/>
      <c r="P187" s="1"/>
      <c r="Q187" s="1"/>
      <c r="R187" s="1"/>
      <c r="S187" s="1"/>
      <c r="T187" s="1"/>
      <c r="U187" s="1"/>
      <c r="V187" s="1"/>
      <c r="W187" s="1"/>
      <c r="X187" s="1"/>
      <c r="Y187" s="1"/>
      <c r="Z187" s="1"/>
      <c r="AA187" s="1"/>
      <c r="AB187" s="1"/>
      <c r="AC187" s="1"/>
      <c r="AD187" s="1"/>
      <c r="AE187" s="1"/>
      <c r="AQ187" s="1"/>
    </row>
    <row r="188" spans="9:43" x14ac:dyDescent="0.25">
      <c r="I188" s="1"/>
      <c r="J188" s="1"/>
      <c r="K188" s="1"/>
      <c r="L188" s="1"/>
      <c r="M188" s="1"/>
      <c r="N188" s="1"/>
      <c r="O188" s="1"/>
      <c r="P188" s="1"/>
      <c r="Q188" s="1"/>
      <c r="R188" s="1"/>
      <c r="S188" s="1"/>
      <c r="T188" s="1"/>
      <c r="U188" s="1"/>
      <c r="V188" s="1"/>
      <c r="W188" s="1"/>
      <c r="X188" s="1"/>
      <c r="Y188" s="1"/>
      <c r="Z188" s="1"/>
      <c r="AA188" s="1"/>
      <c r="AB188" s="1"/>
      <c r="AC188" s="1"/>
      <c r="AD188" s="1"/>
      <c r="AE188" s="1"/>
      <c r="AQ188" s="1"/>
    </row>
    <row r="189" spans="9:43" x14ac:dyDescent="0.25">
      <c r="I189" s="1"/>
      <c r="J189" s="1"/>
      <c r="K189" s="1"/>
      <c r="L189" s="1"/>
      <c r="M189" s="1"/>
      <c r="N189" s="1"/>
      <c r="O189" s="1"/>
      <c r="P189" s="1"/>
      <c r="Q189" s="1"/>
      <c r="R189" s="1"/>
      <c r="S189" s="1"/>
      <c r="T189" s="1"/>
      <c r="U189" s="1"/>
      <c r="V189" s="1"/>
      <c r="W189" s="1"/>
      <c r="X189" s="1"/>
      <c r="Y189" s="1"/>
      <c r="Z189" s="1"/>
      <c r="AA189" s="1"/>
      <c r="AB189" s="1"/>
      <c r="AC189" s="1"/>
      <c r="AD189" s="1"/>
      <c r="AE189" s="1"/>
      <c r="AQ189" s="1"/>
    </row>
    <row r="190" spans="9:43" x14ac:dyDescent="0.25">
      <c r="I190" s="1"/>
      <c r="J190" s="1"/>
      <c r="K190" s="1"/>
      <c r="L190" s="1"/>
      <c r="M190" s="1"/>
      <c r="N190" s="1"/>
      <c r="O190" s="1"/>
      <c r="P190" s="1"/>
      <c r="Q190" s="1"/>
      <c r="R190" s="1"/>
      <c r="S190" s="1"/>
      <c r="T190" s="1"/>
      <c r="U190" s="1"/>
      <c r="V190" s="1"/>
      <c r="W190" s="1"/>
      <c r="X190" s="1"/>
      <c r="Y190" s="1"/>
      <c r="Z190" s="1"/>
      <c r="AA190" s="1"/>
      <c r="AB190" s="1"/>
      <c r="AC190" s="1"/>
      <c r="AD190" s="1"/>
      <c r="AE190" s="1"/>
      <c r="AQ190" s="1"/>
    </row>
    <row r="191" spans="9:43" x14ac:dyDescent="0.25">
      <c r="I191" s="1"/>
      <c r="J191" s="1"/>
      <c r="K191" s="1"/>
      <c r="L191" s="1"/>
      <c r="M191" s="1"/>
      <c r="N191" s="1"/>
      <c r="O191" s="1"/>
      <c r="P191" s="1"/>
      <c r="Q191" s="1"/>
      <c r="R191" s="1"/>
      <c r="S191" s="1"/>
      <c r="T191" s="1"/>
      <c r="U191" s="1"/>
      <c r="V191" s="1"/>
      <c r="W191" s="1"/>
      <c r="X191" s="1"/>
      <c r="Y191" s="1"/>
      <c r="Z191" s="1"/>
      <c r="AA191" s="1"/>
      <c r="AB191" s="1"/>
      <c r="AC191" s="1"/>
      <c r="AD191" s="1"/>
      <c r="AE191" s="1"/>
      <c r="AQ191" s="1"/>
    </row>
    <row r="192" spans="9:43" x14ac:dyDescent="0.25">
      <c r="I192" s="1"/>
      <c r="J192" s="1"/>
      <c r="K192" s="1"/>
      <c r="L192" s="1"/>
      <c r="M192" s="1"/>
      <c r="N192" s="1"/>
      <c r="O192" s="1"/>
      <c r="P192" s="1"/>
      <c r="Q192" s="1"/>
      <c r="R192" s="1"/>
      <c r="S192" s="1"/>
      <c r="T192" s="1"/>
      <c r="U192" s="1"/>
      <c r="V192" s="1"/>
      <c r="W192" s="1"/>
      <c r="X192" s="1"/>
      <c r="Y192" s="1"/>
      <c r="Z192" s="1"/>
      <c r="AA192" s="1"/>
      <c r="AB192" s="1"/>
      <c r="AC192" s="1"/>
      <c r="AD192" s="1"/>
      <c r="AE192" s="1"/>
      <c r="AQ192" s="1"/>
    </row>
    <row r="193" spans="9:43" x14ac:dyDescent="0.25">
      <c r="I193" s="1"/>
      <c r="J193" s="1"/>
      <c r="K193" s="1"/>
      <c r="L193" s="1"/>
      <c r="M193" s="1"/>
      <c r="N193" s="1"/>
      <c r="O193" s="1"/>
      <c r="P193" s="1"/>
      <c r="Q193" s="1"/>
      <c r="R193" s="1"/>
      <c r="S193" s="1"/>
      <c r="T193" s="1"/>
      <c r="U193" s="1"/>
      <c r="V193" s="1"/>
      <c r="W193" s="1"/>
      <c r="X193" s="1"/>
      <c r="Y193" s="1"/>
      <c r="Z193" s="1"/>
      <c r="AA193" s="1"/>
      <c r="AB193" s="1"/>
      <c r="AC193" s="1"/>
      <c r="AD193" s="1"/>
      <c r="AE193" s="1"/>
      <c r="AQ193" s="1"/>
    </row>
    <row r="194" spans="9:43" x14ac:dyDescent="0.25">
      <c r="I194" s="1"/>
      <c r="J194" s="1"/>
      <c r="K194" s="1"/>
      <c r="L194" s="1"/>
      <c r="M194" s="1"/>
      <c r="N194" s="1"/>
      <c r="O194" s="1"/>
      <c r="P194" s="1"/>
      <c r="Q194" s="1"/>
      <c r="R194" s="1"/>
      <c r="S194" s="1"/>
      <c r="T194" s="1"/>
      <c r="U194" s="1"/>
      <c r="V194" s="1"/>
      <c r="W194" s="1"/>
      <c r="X194" s="1"/>
      <c r="Y194" s="1"/>
      <c r="Z194" s="1"/>
      <c r="AA194" s="1"/>
      <c r="AB194" s="1"/>
      <c r="AC194" s="1"/>
      <c r="AD194" s="1"/>
      <c r="AE194" s="1"/>
      <c r="AQ194" s="1"/>
    </row>
    <row r="195" spans="9:43" x14ac:dyDescent="0.25">
      <c r="I195" s="1"/>
      <c r="J195" s="1"/>
      <c r="K195" s="1"/>
      <c r="L195" s="1"/>
      <c r="M195" s="1"/>
      <c r="N195" s="1"/>
      <c r="O195" s="1"/>
      <c r="P195" s="1"/>
      <c r="Q195" s="1"/>
      <c r="R195" s="1"/>
      <c r="S195" s="1"/>
      <c r="T195" s="1"/>
      <c r="U195" s="1"/>
      <c r="V195" s="1"/>
      <c r="W195" s="1"/>
      <c r="X195" s="1"/>
      <c r="Y195" s="1"/>
      <c r="Z195" s="1"/>
      <c r="AA195" s="1"/>
      <c r="AB195" s="1"/>
      <c r="AC195" s="1"/>
      <c r="AD195" s="1"/>
      <c r="AE195" s="1"/>
      <c r="AQ195" s="1"/>
    </row>
    <row r="196" spans="9:43" x14ac:dyDescent="0.25">
      <c r="I196" s="1"/>
      <c r="J196" s="1"/>
      <c r="K196" s="1"/>
      <c r="L196" s="1"/>
      <c r="M196" s="1"/>
      <c r="N196" s="1"/>
      <c r="O196" s="1"/>
      <c r="P196" s="1"/>
      <c r="Q196" s="1"/>
      <c r="R196" s="1"/>
      <c r="S196" s="1"/>
      <c r="T196" s="1"/>
      <c r="U196" s="1"/>
      <c r="V196" s="1"/>
      <c r="W196" s="1"/>
      <c r="X196" s="1"/>
      <c r="Y196" s="1"/>
      <c r="Z196" s="1"/>
      <c r="AA196" s="1"/>
      <c r="AB196" s="1"/>
      <c r="AC196" s="1"/>
      <c r="AD196" s="1"/>
      <c r="AE196" s="1"/>
      <c r="AQ196" s="1"/>
    </row>
    <row r="197" spans="9:43" x14ac:dyDescent="0.25">
      <c r="I197" s="1"/>
      <c r="J197" s="1"/>
      <c r="K197" s="1"/>
      <c r="L197" s="1"/>
      <c r="M197" s="1"/>
      <c r="N197" s="1"/>
      <c r="O197" s="1"/>
      <c r="P197" s="1"/>
      <c r="Q197" s="1"/>
      <c r="R197" s="1"/>
      <c r="S197" s="1"/>
      <c r="T197" s="1"/>
      <c r="U197" s="1"/>
      <c r="V197" s="1"/>
      <c r="W197" s="1"/>
      <c r="X197" s="1"/>
      <c r="Y197" s="1"/>
      <c r="Z197" s="1"/>
      <c r="AA197" s="1"/>
      <c r="AB197" s="1"/>
      <c r="AC197" s="1"/>
      <c r="AD197" s="1"/>
      <c r="AE197" s="1"/>
      <c r="AQ197" s="1"/>
    </row>
    <row r="198" spans="9:43" x14ac:dyDescent="0.25">
      <c r="I198" s="1"/>
      <c r="J198" s="1"/>
      <c r="K198" s="1"/>
      <c r="L198" s="1"/>
      <c r="M198" s="1"/>
      <c r="N198" s="1"/>
      <c r="O198" s="1"/>
      <c r="P198" s="1"/>
      <c r="Q198" s="1"/>
      <c r="R198" s="1"/>
      <c r="S198" s="1"/>
      <c r="T198" s="1"/>
      <c r="U198" s="1"/>
      <c r="V198" s="1"/>
      <c r="W198" s="1"/>
      <c r="X198" s="1"/>
      <c r="Y198" s="1"/>
      <c r="Z198" s="1"/>
      <c r="AA198" s="1"/>
      <c r="AB198" s="1"/>
      <c r="AC198" s="1"/>
      <c r="AD198" s="1"/>
      <c r="AE198" s="1"/>
      <c r="AQ198" s="1"/>
    </row>
    <row r="199" spans="9:43" x14ac:dyDescent="0.25">
      <c r="I199" s="1"/>
      <c r="J199" s="1"/>
      <c r="K199" s="1"/>
      <c r="L199" s="1"/>
      <c r="M199" s="1"/>
      <c r="N199" s="1"/>
      <c r="O199" s="1"/>
      <c r="P199" s="1"/>
      <c r="Q199" s="1"/>
      <c r="R199" s="1"/>
      <c r="S199" s="1"/>
      <c r="T199" s="1"/>
      <c r="U199" s="1"/>
      <c r="V199" s="1"/>
      <c r="W199" s="1"/>
      <c r="X199" s="1"/>
      <c r="Y199" s="1"/>
      <c r="Z199" s="1"/>
      <c r="AA199" s="1"/>
      <c r="AB199" s="1"/>
      <c r="AC199" s="1"/>
      <c r="AD199" s="1"/>
      <c r="AE199" s="1"/>
      <c r="AQ199" s="1"/>
    </row>
    <row r="200" spans="9:43" x14ac:dyDescent="0.25">
      <c r="I200" s="1"/>
      <c r="J200" s="1"/>
      <c r="K200" s="1"/>
      <c r="L200" s="1"/>
      <c r="M200" s="1"/>
      <c r="N200" s="1"/>
      <c r="O200" s="1"/>
      <c r="P200" s="1"/>
      <c r="Q200" s="1"/>
      <c r="R200" s="1"/>
      <c r="S200" s="1"/>
      <c r="T200" s="1"/>
      <c r="U200" s="1"/>
      <c r="V200" s="1"/>
      <c r="W200" s="1"/>
      <c r="X200" s="1"/>
      <c r="Y200" s="1"/>
      <c r="Z200" s="1"/>
      <c r="AA200" s="1"/>
      <c r="AB200" s="1"/>
      <c r="AC200" s="1"/>
      <c r="AD200" s="1"/>
      <c r="AE200" s="1"/>
      <c r="AQ200" s="1"/>
    </row>
    <row r="201" spans="9:43" x14ac:dyDescent="0.25">
      <c r="I201" s="1"/>
      <c r="J201" s="1"/>
      <c r="K201" s="1"/>
      <c r="L201" s="1"/>
      <c r="M201" s="1"/>
      <c r="N201" s="1"/>
      <c r="O201" s="1"/>
      <c r="P201" s="1"/>
      <c r="Q201" s="1"/>
      <c r="R201" s="1"/>
      <c r="S201" s="1"/>
      <c r="T201" s="1"/>
      <c r="U201" s="1"/>
      <c r="V201" s="1"/>
      <c r="W201" s="1"/>
      <c r="X201" s="1"/>
      <c r="Y201" s="1"/>
      <c r="Z201" s="1"/>
      <c r="AA201" s="1"/>
      <c r="AB201" s="1"/>
      <c r="AC201" s="1"/>
      <c r="AD201" s="1"/>
      <c r="AE201" s="1"/>
      <c r="AQ201" s="1"/>
    </row>
    <row r="202" spans="9:43" x14ac:dyDescent="0.25">
      <c r="I202" s="1"/>
      <c r="J202" s="1"/>
      <c r="K202" s="1"/>
      <c r="L202" s="1"/>
      <c r="M202" s="1"/>
      <c r="N202" s="1"/>
      <c r="O202" s="1"/>
      <c r="P202" s="1"/>
      <c r="Q202" s="1"/>
      <c r="R202" s="1"/>
      <c r="S202" s="1"/>
      <c r="T202" s="1"/>
      <c r="U202" s="1"/>
      <c r="V202" s="1"/>
      <c r="W202" s="1"/>
      <c r="X202" s="1"/>
      <c r="Y202" s="1"/>
      <c r="Z202" s="1"/>
      <c r="AA202" s="1"/>
      <c r="AB202" s="1"/>
      <c r="AC202" s="1"/>
      <c r="AD202" s="1"/>
      <c r="AE202" s="1"/>
      <c r="AQ202" s="1"/>
    </row>
    <row r="203" spans="9:43" x14ac:dyDescent="0.25">
      <c r="I203" s="1"/>
      <c r="J203" s="1"/>
      <c r="K203" s="1"/>
      <c r="L203" s="1"/>
      <c r="M203" s="1"/>
      <c r="N203" s="1"/>
      <c r="O203" s="1"/>
      <c r="P203" s="1"/>
      <c r="Q203" s="1"/>
      <c r="R203" s="1"/>
      <c r="S203" s="1"/>
      <c r="T203" s="1"/>
      <c r="U203" s="1"/>
      <c r="V203" s="1"/>
      <c r="W203" s="1"/>
      <c r="X203" s="1"/>
      <c r="Y203" s="1"/>
      <c r="Z203" s="1"/>
      <c r="AA203" s="1"/>
      <c r="AB203" s="1"/>
      <c r="AC203" s="1"/>
      <c r="AD203" s="1"/>
      <c r="AE203" s="1"/>
      <c r="AQ203" s="1"/>
    </row>
    <row r="204" spans="9:43" x14ac:dyDescent="0.25">
      <c r="I204" s="1"/>
      <c r="J204" s="1"/>
      <c r="K204" s="1"/>
      <c r="L204" s="1"/>
      <c r="M204" s="1"/>
      <c r="N204" s="1"/>
      <c r="O204" s="1"/>
      <c r="P204" s="1"/>
      <c r="Q204" s="1"/>
      <c r="R204" s="1"/>
      <c r="S204" s="1"/>
      <c r="T204" s="1"/>
      <c r="U204" s="1"/>
      <c r="V204" s="1"/>
      <c r="W204" s="1"/>
      <c r="X204" s="1"/>
      <c r="Y204" s="1"/>
      <c r="Z204" s="1"/>
      <c r="AA204" s="1"/>
      <c r="AB204" s="1"/>
      <c r="AC204" s="1"/>
      <c r="AD204" s="1"/>
      <c r="AE204" s="1"/>
      <c r="AQ204" s="1"/>
    </row>
    <row r="205" spans="9:43" x14ac:dyDescent="0.25">
      <c r="I205" s="1"/>
      <c r="J205" s="1"/>
      <c r="K205" s="1"/>
      <c r="L205" s="1"/>
      <c r="M205" s="1"/>
      <c r="N205" s="1"/>
      <c r="O205" s="1"/>
      <c r="P205" s="1"/>
      <c r="Q205" s="1"/>
      <c r="R205" s="1"/>
      <c r="S205" s="1"/>
      <c r="T205" s="1"/>
      <c r="U205" s="1"/>
      <c r="V205" s="1"/>
      <c r="W205" s="1"/>
      <c r="X205" s="1"/>
      <c r="Y205" s="1"/>
      <c r="Z205" s="1"/>
      <c r="AA205" s="1"/>
      <c r="AB205" s="1"/>
      <c r="AC205" s="1"/>
      <c r="AD205" s="1"/>
      <c r="AE205" s="1"/>
      <c r="AQ205" s="1"/>
    </row>
    <row r="206" spans="9:43" x14ac:dyDescent="0.25">
      <c r="I206" s="1"/>
      <c r="J206" s="1"/>
      <c r="K206" s="1"/>
      <c r="L206" s="1"/>
      <c r="M206" s="1"/>
      <c r="N206" s="1"/>
      <c r="O206" s="1"/>
      <c r="P206" s="1"/>
      <c r="Q206" s="1"/>
      <c r="R206" s="1"/>
      <c r="S206" s="1"/>
      <c r="T206" s="1"/>
      <c r="U206" s="1"/>
      <c r="V206" s="1"/>
      <c r="W206" s="1"/>
      <c r="X206" s="1"/>
      <c r="Y206" s="1"/>
      <c r="Z206" s="1"/>
      <c r="AA206" s="1"/>
      <c r="AB206" s="1"/>
      <c r="AC206" s="1"/>
      <c r="AD206" s="1"/>
      <c r="AE206" s="1"/>
      <c r="AQ206" s="1"/>
    </row>
    <row r="207" spans="9:43" x14ac:dyDescent="0.25">
      <c r="I207" s="1"/>
      <c r="J207" s="1"/>
      <c r="K207" s="1"/>
      <c r="L207" s="1"/>
      <c r="M207" s="1"/>
      <c r="N207" s="1"/>
      <c r="O207" s="1"/>
      <c r="P207" s="1"/>
      <c r="Q207" s="1"/>
      <c r="R207" s="1"/>
      <c r="S207" s="1"/>
      <c r="T207" s="1"/>
      <c r="U207" s="1"/>
      <c r="V207" s="1"/>
      <c r="W207" s="1"/>
      <c r="X207" s="1"/>
      <c r="Y207" s="1"/>
      <c r="Z207" s="1"/>
      <c r="AA207" s="1"/>
      <c r="AB207" s="1"/>
      <c r="AC207" s="1"/>
      <c r="AD207" s="1"/>
      <c r="AE207" s="1"/>
      <c r="AQ207" s="1"/>
    </row>
    <row r="208" spans="9:43" x14ac:dyDescent="0.25">
      <c r="I208" s="1"/>
      <c r="J208" s="1"/>
      <c r="K208" s="1"/>
      <c r="L208" s="1"/>
      <c r="M208" s="1"/>
      <c r="N208" s="1"/>
      <c r="O208" s="1"/>
      <c r="P208" s="1"/>
      <c r="Q208" s="1"/>
      <c r="R208" s="1"/>
      <c r="S208" s="1"/>
      <c r="T208" s="1"/>
      <c r="U208" s="1"/>
      <c r="V208" s="1"/>
      <c r="W208" s="1"/>
      <c r="X208" s="1"/>
      <c r="Y208" s="1"/>
      <c r="Z208" s="1"/>
      <c r="AA208" s="1"/>
      <c r="AB208" s="1"/>
      <c r="AC208" s="1"/>
      <c r="AD208" s="1"/>
      <c r="AE208" s="1"/>
      <c r="AQ208" s="1"/>
    </row>
    <row r="209" spans="9:43" x14ac:dyDescent="0.25">
      <c r="I209" s="1"/>
      <c r="J209" s="1"/>
      <c r="K209" s="1"/>
      <c r="L209" s="1"/>
      <c r="M209" s="1"/>
      <c r="N209" s="1"/>
      <c r="O209" s="1"/>
      <c r="P209" s="1"/>
      <c r="Q209" s="1"/>
      <c r="R209" s="1"/>
      <c r="S209" s="1"/>
      <c r="T209" s="1"/>
      <c r="U209" s="1"/>
      <c r="V209" s="1"/>
      <c r="W209" s="1"/>
      <c r="X209" s="1"/>
      <c r="Y209" s="1"/>
      <c r="Z209" s="1"/>
      <c r="AA209" s="1"/>
      <c r="AB209" s="1"/>
      <c r="AC209" s="1"/>
      <c r="AD209" s="1"/>
      <c r="AE209" s="1"/>
      <c r="AQ209" s="1"/>
    </row>
    <row r="210" spans="9:43" x14ac:dyDescent="0.25">
      <c r="I210" s="1"/>
      <c r="J210" s="1"/>
      <c r="K210" s="1"/>
      <c r="L210" s="1"/>
      <c r="M210" s="1"/>
      <c r="N210" s="1"/>
      <c r="O210" s="1"/>
      <c r="P210" s="1"/>
      <c r="Q210" s="1"/>
      <c r="R210" s="1"/>
      <c r="S210" s="1"/>
      <c r="T210" s="1"/>
      <c r="U210" s="1"/>
      <c r="V210" s="1"/>
      <c r="W210" s="1"/>
      <c r="X210" s="1"/>
      <c r="Y210" s="1"/>
      <c r="Z210" s="1"/>
      <c r="AA210" s="1"/>
      <c r="AB210" s="1"/>
      <c r="AC210" s="1"/>
      <c r="AD210" s="1"/>
      <c r="AE210" s="1"/>
      <c r="AQ210" s="1"/>
    </row>
    <row r="211" spans="9:43" x14ac:dyDescent="0.25">
      <c r="I211" s="1"/>
      <c r="J211" s="1"/>
      <c r="K211" s="1"/>
      <c r="L211" s="1"/>
      <c r="M211" s="1"/>
      <c r="N211" s="1"/>
      <c r="O211" s="1"/>
      <c r="P211" s="1"/>
      <c r="Q211" s="1"/>
      <c r="R211" s="1"/>
      <c r="S211" s="1"/>
      <c r="T211" s="1"/>
      <c r="U211" s="1"/>
      <c r="V211" s="1"/>
      <c r="W211" s="1"/>
      <c r="X211" s="1"/>
      <c r="Y211" s="1"/>
      <c r="Z211" s="1"/>
      <c r="AA211" s="1"/>
      <c r="AB211" s="1"/>
      <c r="AC211" s="1"/>
      <c r="AD211" s="1"/>
      <c r="AE211" s="1"/>
      <c r="AQ211" s="1"/>
    </row>
    <row r="212" spans="9:43" x14ac:dyDescent="0.25">
      <c r="I212" s="1"/>
      <c r="J212" s="1"/>
      <c r="K212" s="1"/>
      <c r="L212" s="1"/>
      <c r="M212" s="1"/>
      <c r="N212" s="1"/>
      <c r="O212" s="1"/>
      <c r="P212" s="1"/>
      <c r="Q212" s="1"/>
      <c r="R212" s="1"/>
      <c r="S212" s="1"/>
      <c r="T212" s="1"/>
      <c r="U212" s="1"/>
      <c r="V212" s="1"/>
      <c r="W212" s="1"/>
      <c r="X212" s="1"/>
      <c r="Y212" s="1"/>
      <c r="Z212" s="1"/>
      <c r="AA212" s="1"/>
      <c r="AB212" s="1"/>
      <c r="AC212" s="1"/>
      <c r="AD212" s="1"/>
      <c r="AE212" s="1"/>
      <c r="AQ212" s="1"/>
    </row>
    <row r="213" spans="9:43" x14ac:dyDescent="0.25">
      <c r="I213" s="1"/>
      <c r="J213" s="1"/>
      <c r="K213" s="1"/>
      <c r="L213" s="1"/>
      <c r="M213" s="1"/>
      <c r="N213" s="1"/>
      <c r="O213" s="1"/>
      <c r="P213" s="1"/>
      <c r="Q213" s="1"/>
      <c r="R213" s="1"/>
      <c r="S213" s="1"/>
      <c r="T213" s="1"/>
      <c r="U213" s="1"/>
      <c r="V213" s="1"/>
      <c r="W213" s="1"/>
      <c r="X213" s="1"/>
      <c r="Y213" s="1"/>
      <c r="Z213" s="1"/>
      <c r="AA213" s="1"/>
      <c r="AB213" s="1"/>
      <c r="AC213" s="1"/>
      <c r="AD213" s="1"/>
      <c r="AE213" s="1"/>
      <c r="AQ213" s="1"/>
    </row>
    <row r="214" spans="9:43" x14ac:dyDescent="0.25">
      <c r="I214" s="1"/>
      <c r="J214" s="1"/>
      <c r="K214" s="1"/>
      <c r="L214" s="1"/>
      <c r="M214" s="1"/>
      <c r="N214" s="1"/>
      <c r="O214" s="1"/>
      <c r="P214" s="1"/>
      <c r="Q214" s="1"/>
      <c r="R214" s="1"/>
      <c r="S214" s="1"/>
      <c r="T214" s="1"/>
      <c r="U214" s="1"/>
      <c r="V214" s="1"/>
      <c r="W214" s="1"/>
      <c r="X214" s="1"/>
      <c r="Y214" s="1"/>
      <c r="Z214" s="1"/>
      <c r="AA214" s="1"/>
      <c r="AB214" s="1"/>
      <c r="AC214" s="1"/>
      <c r="AD214" s="1"/>
      <c r="AE214" s="1"/>
      <c r="AQ214" s="1"/>
    </row>
    <row r="215" spans="9:43" x14ac:dyDescent="0.25">
      <c r="I215" s="1"/>
      <c r="J215" s="1"/>
      <c r="K215" s="1"/>
      <c r="L215" s="1"/>
      <c r="M215" s="1"/>
      <c r="N215" s="1"/>
      <c r="O215" s="1"/>
      <c r="P215" s="1"/>
      <c r="Q215" s="1"/>
      <c r="R215" s="1"/>
      <c r="S215" s="1"/>
      <c r="T215" s="1"/>
      <c r="U215" s="1"/>
      <c r="V215" s="1"/>
      <c r="W215" s="1"/>
      <c r="X215" s="1"/>
      <c r="Y215" s="1"/>
      <c r="Z215" s="1"/>
      <c r="AA215" s="1"/>
      <c r="AB215" s="1"/>
      <c r="AC215" s="1"/>
      <c r="AD215" s="1"/>
      <c r="AE215" s="1"/>
      <c r="AQ215" s="1"/>
    </row>
    <row r="216" spans="9:43" x14ac:dyDescent="0.25">
      <c r="I216" s="1"/>
      <c r="J216" s="1"/>
      <c r="K216" s="1"/>
      <c r="L216" s="1"/>
      <c r="M216" s="1"/>
      <c r="N216" s="1"/>
      <c r="O216" s="1"/>
      <c r="P216" s="1"/>
      <c r="Q216" s="1"/>
      <c r="R216" s="1"/>
      <c r="S216" s="1"/>
      <c r="T216" s="1"/>
      <c r="U216" s="1"/>
      <c r="V216" s="1"/>
      <c r="W216" s="1"/>
      <c r="X216" s="1"/>
      <c r="Y216" s="1"/>
      <c r="Z216" s="1"/>
      <c r="AA216" s="1"/>
      <c r="AB216" s="1"/>
      <c r="AC216" s="1"/>
      <c r="AD216" s="1"/>
      <c r="AE216" s="1"/>
      <c r="AQ216" s="1"/>
    </row>
    <row r="217" spans="9:43" x14ac:dyDescent="0.25">
      <c r="I217" s="1"/>
      <c r="J217" s="1"/>
      <c r="K217" s="1"/>
      <c r="L217" s="1"/>
      <c r="M217" s="1"/>
      <c r="N217" s="1"/>
      <c r="O217" s="1"/>
      <c r="P217" s="1"/>
      <c r="Q217" s="1"/>
      <c r="R217" s="1"/>
      <c r="S217" s="1"/>
      <c r="T217" s="1"/>
      <c r="U217" s="1"/>
      <c r="V217" s="1"/>
      <c r="W217" s="1"/>
      <c r="X217" s="1"/>
      <c r="Y217" s="1"/>
      <c r="Z217" s="1"/>
      <c r="AA217" s="1"/>
      <c r="AB217" s="1"/>
      <c r="AC217" s="1"/>
      <c r="AD217" s="1"/>
      <c r="AE217" s="1"/>
      <c r="AQ217" s="1"/>
    </row>
    <row r="218" spans="9:43" x14ac:dyDescent="0.25">
      <c r="I218" s="1"/>
      <c r="J218" s="1"/>
      <c r="K218" s="1"/>
      <c r="L218" s="1"/>
      <c r="M218" s="1"/>
      <c r="N218" s="1"/>
      <c r="O218" s="1"/>
      <c r="P218" s="1"/>
      <c r="Q218" s="1"/>
      <c r="R218" s="1"/>
      <c r="S218" s="1"/>
      <c r="T218" s="1"/>
      <c r="U218" s="1"/>
      <c r="V218" s="1"/>
      <c r="W218" s="1"/>
      <c r="X218" s="1"/>
      <c r="Y218" s="1"/>
      <c r="Z218" s="1"/>
      <c r="AA218" s="1"/>
      <c r="AB218" s="1"/>
      <c r="AC218" s="1"/>
      <c r="AD218" s="1"/>
      <c r="AE218" s="1"/>
      <c r="AQ218" s="1"/>
    </row>
    <row r="219" spans="9:43" x14ac:dyDescent="0.25">
      <c r="I219" s="1"/>
      <c r="J219" s="1"/>
      <c r="K219" s="1"/>
      <c r="L219" s="1"/>
      <c r="M219" s="1"/>
      <c r="N219" s="1"/>
      <c r="O219" s="1"/>
      <c r="P219" s="1"/>
      <c r="Q219" s="1"/>
      <c r="R219" s="1"/>
      <c r="S219" s="1"/>
      <c r="T219" s="1"/>
      <c r="U219" s="1"/>
      <c r="V219" s="1"/>
      <c r="W219" s="1"/>
      <c r="X219" s="1"/>
      <c r="Y219" s="1"/>
      <c r="Z219" s="1"/>
      <c r="AA219" s="1"/>
      <c r="AB219" s="1"/>
      <c r="AC219" s="1"/>
      <c r="AD219" s="1"/>
      <c r="AE219" s="1"/>
      <c r="AQ219" s="1"/>
    </row>
    <row r="220" spans="9:43" x14ac:dyDescent="0.25">
      <c r="I220" s="1"/>
      <c r="J220" s="1"/>
      <c r="K220" s="1"/>
      <c r="L220" s="1"/>
      <c r="M220" s="1"/>
      <c r="N220" s="1"/>
      <c r="O220" s="1"/>
      <c r="P220" s="1"/>
      <c r="Q220" s="1"/>
      <c r="R220" s="1"/>
      <c r="S220" s="1"/>
      <c r="T220" s="1"/>
      <c r="U220" s="1"/>
      <c r="V220" s="1"/>
      <c r="W220" s="1"/>
      <c r="X220" s="1"/>
      <c r="Y220" s="1"/>
      <c r="Z220" s="1"/>
      <c r="AA220" s="1"/>
      <c r="AB220" s="1"/>
      <c r="AC220" s="1"/>
      <c r="AD220" s="1"/>
      <c r="AE220" s="1"/>
      <c r="AQ220" s="1"/>
    </row>
    <row r="221" spans="9:43" x14ac:dyDescent="0.25">
      <c r="I221" s="1"/>
      <c r="J221" s="1"/>
      <c r="K221" s="1"/>
      <c r="L221" s="1"/>
      <c r="M221" s="1"/>
      <c r="N221" s="1"/>
      <c r="O221" s="1"/>
      <c r="P221" s="1"/>
      <c r="Q221" s="1"/>
      <c r="R221" s="1"/>
      <c r="S221" s="1"/>
      <c r="T221" s="1"/>
      <c r="U221" s="1"/>
      <c r="V221" s="1"/>
      <c r="W221" s="1"/>
      <c r="X221" s="1"/>
      <c r="Y221" s="1"/>
      <c r="Z221" s="1"/>
      <c r="AA221" s="1"/>
      <c r="AB221" s="1"/>
      <c r="AC221" s="1"/>
      <c r="AD221" s="1"/>
      <c r="AE221" s="1"/>
      <c r="AQ221" s="1"/>
    </row>
    <row r="222" spans="9:43" x14ac:dyDescent="0.25">
      <c r="I222" s="1"/>
      <c r="J222" s="1"/>
      <c r="K222" s="1"/>
      <c r="L222" s="1"/>
      <c r="M222" s="1"/>
      <c r="N222" s="1"/>
      <c r="O222" s="1"/>
      <c r="P222" s="1"/>
      <c r="Q222" s="1"/>
      <c r="R222" s="1"/>
      <c r="S222" s="1"/>
      <c r="T222" s="1"/>
      <c r="U222" s="1"/>
      <c r="V222" s="1"/>
      <c r="W222" s="1"/>
      <c r="X222" s="1"/>
      <c r="Y222" s="1"/>
      <c r="Z222" s="1"/>
      <c r="AA222" s="1"/>
      <c r="AB222" s="1"/>
      <c r="AC222" s="1"/>
      <c r="AD222" s="1"/>
      <c r="AE222" s="1"/>
      <c r="AQ222" s="1"/>
    </row>
    <row r="223" spans="9:43" x14ac:dyDescent="0.25">
      <c r="I223" s="1"/>
      <c r="J223" s="1"/>
      <c r="K223" s="1"/>
      <c r="L223" s="1"/>
      <c r="M223" s="1"/>
      <c r="N223" s="1"/>
      <c r="O223" s="1"/>
      <c r="P223" s="1"/>
      <c r="Q223" s="1"/>
      <c r="R223" s="1"/>
      <c r="S223" s="1"/>
      <c r="T223" s="1"/>
      <c r="U223" s="1"/>
      <c r="V223" s="1"/>
      <c r="W223" s="1"/>
      <c r="X223" s="1"/>
      <c r="Y223" s="1"/>
      <c r="Z223" s="1"/>
      <c r="AA223" s="1"/>
      <c r="AB223" s="1"/>
      <c r="AC223" s="1"/>
      <c r="AD223" s="1"/>
      <c r="AE223" s="1"/>
      <c r="AQ223" s="1"/>
    </row>
    <row r="224" spans="9:43" x14ac:dyDescent="0.25">
      <c r="I224" s="1"/>
      <c r="J224" s="1"/>
      <c r="K224" s="1"/>
      <c r="L224" s="1"/>
      <c r="M224" s="1"/>
      <c r="N224" s="1"/>
      <c r="O224" s="1"/>
      <c r="P224" s="1"/>
      <c r="Q224" s="1"/>
      <c r="R224" s="1"/>
      <c r="S224" s="1"/>
      <c r="T224" s="1"/>
      <c r="U224" s="1"/>
      <c r="V224" s="1"/>
      <c r="W224" s="1"/>
      <c r="X224" s="1"/>
      <c r="Y224" s="1"/>
      <c r="Z224" s="1"/>
      <c r="AA224" s="1"/>
      <c r="AB224" s="1"/>
      <c r="AC224" s="1"/>
      <c r="AD224" s="1"/>
      <c r="AE224" s="1"/>
      <c r="AQ224" s="1"/>
    </row>
    <row r="225" spans="9:43" x14ac:dyDescent="0.25">
      <c r="I225" s="1"/>
      <c r="J225" s="1"/>
      <c r="K225" s="1"/>
      <c r="L225" s="1"/>
      <c r="M225" s="1"/>
      <c r="N225" s="1"/>
      <c r="O225" s="1"/>
      <c r="P225" s="1"/>
      <c r="Q225" s="1"/>
      <c r="R225" s="1"/>
      <c r="S225" s="1"/>
      <c r="T225" s="1"/>
      <c r="U225" s="1"/>
      <c r="V225" s="1"/>
      <c r="W225" s="1"/>
      <c r="X225" s="1"/>
      <c r="Y225" s="1"/>
      <c r="Z225" s="1"/>
      <c r="AA225" s="1"/>
      <c r="AB225" s="1"/>
      <c r="AC225" s="1"/>
      <c r="AD225" s="1"/>
      <c r="AE225" s="1"/>
      <c r="AQ225" s="1"/>
    </row>
    <row r="226" spans="9:43" x14ac:dyDescent="0.25">
      <c r="I226" s="1"/>
      <c r="J226" s="1"/>
      <c r="K226" s="1"/>
      <c r="L226" s="1"/>
      <c r="M226" s="1"/>
      <c r="N226" s="1"/>
      <c r="O226" s="1"/>
      <c r="P226" s="1"/>
      <c r="Q226" s="1"/>
      <c r="R226" s="1"/>
      <c r="S226" s="1"/>
      <c r="T226" s="1"/>
      <c r="U226" s="1"/>
      <c r="V226" s="1"/>
      <c r="W226" s="1"/>
      <c r="X226" s="1"/>
      <c r="Y226" s="1"/>
      <c r="Z226" s="1"/>
      <c r="AA226" s="1"/>
      <c r="AB226" s="1"/>
      <c r="AC226" s="1"/>
      <c r="AD226" s="1"/>
      <c r="AE226" s="1"/>
      <c r="AQ226" s="1"/>
    </row>
    <row r="227" spans="9:43" x14ac:dyDescent="0.25">
      <c r="I227" s="1"/>
      <c r="J227" s="1"/>
      <c r="K227" s="1"/>
      <c r="L227" s="1"/>
      <c r="M227" s="1"/>
      <c r="N227" s="1"/>
      <c r="O227" s="1"/>
      <c r="P227" s="1"/>
      <c r="Q227" s="1"/>
      <c r="R227" s="1"/>
      <c r="S227" s="1"/>
      <c r="T227" s="1"/>
      <c r="U227" s="1"/>
      <c r="V227" s="1"/>
      <c r="W227" s="1"/>
      <c r="X227" s="1"/>
      <c r="Y227" s="1"/>
      <c r="Z227" s="1"/>
      <c r="AA227" s="1"/>
      <c r="AB227" s="1"/>
      <c r="AC227" s="1"/>
      <c r="AD227" s="1"/>
      <c r="AE227" s="1"/>
      <c r="AQ227" s="1"/>
    </row>
    <row r="228" spans="9:43" x14ac:dyDescent="0.25">
      <c r="I228" s="1"/>
      <c r="J228" s="1"/>
      <c r="K228" s="1"/>
      <c r="L228" s="1"/>
      <c r="M228" s="1"/>
      <c r="N228" s="1"/>
      <c r="O228" s="1"/>
      <c r="P228" s="1"/>
      <c r="Q228" s="1"/>
      <c r="R228" s="1"/>
      <c r="S228" s="1"/>
      <c r="T228" s="1"/>
      <c r="U228" s="1"/>
      <c r="V228" s="1"/>
      <c r="W228" s="1"/>
      <c r="X228" s="1"/>
      <c r="Y228" s="1"/>
      <c r="Z228" s="1"/>
      <c r="AA228" s="1"/>
      <c r="AB228" s="1"/>
      <c r="AC228" s="1"/>
      <c r="AD228" s="1"/>
      <c r="AE228" s="1"/>
      <c r="AQ228" s="1"/>
    </row>
    <row r="229" spans="9:43" x14ac:dyDescent="0.25">
      <c r="I229" s="1"/>
      <c r="J229" s="1"/>
      <c r="K229" s="1"/>
      <c r="L229" s="1"/>
      <c r="M229" s="1"/>
      <c r="N229" s="1"/>
      <c r="O229" s="1"/>
      <c r="P229" s="1"/>
      <c r="Q229" s="1"/>
      <c r="R229" s="1"/>
      <c r="S229" s="1"/>
      <c r="T229" s="1"/>
      <c r="U229" s="1"/>
      <c r="V229" s="1"/>
      <c r="W229" s="1"/>
      <c r="X229" s="1"/>
      <c r="Y229" s="1"/>
      <c r="Z229" s="1"/>
      <c r="AA229" s="1"/>
      <c r="AB229" s="1"/>
      <c r="AC229" s="1"/>
      <c r="AD229" s="1"/>
      <c r="AE229" s="1"/>
      <c r="AQ229" s="1"/>
    </row>
    <row r="230" spans="9:43" x14ac:dyDescent="0.25">
      <c r="I230" s="1"/>
      <c r="J230" s="1"/>
      <c r="K230" s="1"/>
      <c r="L230" s="1"/>
      <c r="M230" s="1"/>
      <c r="N230" s="1"/>
      <c r="O230" s="1"/>
      <c r="P230" s="1"/>
      <c r="Q230" s="1"/>
      <c r="R230" s="1"/>
      <c r="S230" s="1"/>
      <c r="T230" s="1"/>
      <c r="U230" s="1"/>
      <c r="V230" s="1"/>
      <c r="W230" s="1"/>
      <c r="X230" s="1"/>
      <c r="Y230" s="1"/>
      <c r="Z230" s="1"/>
      <c r="AA230" s="1"/>
      <c r="AB230" s="1"/>
      <c r="AC230" s="1"/>
      <c r="AD230" s="1"/>
      <c r="AE230" s="1"/>
      <c r="AQ230" s="1"/>
    </row>
    <row r="231" spans="9:43" x14ac:dyDescent="0.25">
      <c r="I231" s="1"/>
      <c r="J231" s="1"/>
      <c r="K231" s="1"/>
      <c r="L231" s="1"/>
      <c r="M231" s="1"/>
      <c r="N231" s="1"/>
      <c r="O231" s="1"/>
      <c r="P231" s="1"/>
      <c r="Q231" s="1"/>
      <c r="R231" s="1"/>
      <c r="S231" s="1"/>
      <c r="T231" s="1"/>
      <c r="U231" s="1"/>
      <c r="V231" s="1"/>
      <c r="W231" s="1"/>
      <c r="X231" s="1"/>
      <c r="Y231" s="1"/>
      <c r="Z231" s="1"/>
      <c r="AA231" s="1"/>
      <c r="AB231" s="1"/>
      <c r="AC231" s="1"/>
      <c r="AD231" s="1"/>
      <c r="AE231" s="1"/>
      <c r="AQ231" s="1"/>
    </row>
    <row r="232" spans="9:43" x14ac:dyDescent="0.25">
      <c r="I232" s="1"/>
      <c r="J232" s="1"/>
      <c r="K232" s="1"/>
      <c r="L232" s="1"/>
      <c r="M232" s="1"/>
      <c r="N232" s="1"/>
      <c r="O232" s="1"/>
      <c r="P232" s="1"/>
      <c r="Q232" s="1"/>
      <c r="R232" s="1"/>
      <c r="S232" s="1"/>
      <c r="T232" s="1"/>
      <c r="U232" s="1"/>
      <c r="V232" s="1"/>
      <c r="W232" s="1"/>
      <c r="X232" s="1"/>
      <c r="Y232" s="1"/>
      <c r="Z232" s="1"/>
      <c r="AA232" s="1"/>
      <c r="AB232" s="1"/>
      <c r="AC232" s="1"/>
      <c r="AD232" s="1"/>
      <c r="AE232" s="1"/>
      <c r="AQ232" s="1"/>
    </row>
    <row r="233" spans="9:43" x14ac:dyDescent="0.25">
      <c r="I233" s="1"/>
      <c r="J233" s="1"/>
      <c r="K233" s="1"/>
      <c r="L233" s="1"/>
      <c r="M233" s="1"/>
      <c r="N233" s="1"/>
      <c r="O233" s="1"/>
      <c r="P233" s="1"/>
      <c r="Q233" s="1"/>
      <c r="R233" s="1"/>
      <c r="S233" s="1"/>
      <c r="T233" s="1"/>
      <c r="U233" s="1"/>
      <c r="V233" s="1"/>
      <c r="W233" s="1"/>
      <c r="X233" s="1"/>
      <c r="Y233" s="1"/>
      <c r="Z233" s="1"/>
      <c r="AA233" s="1"/>
      <c r="AB233" s="1"/>
      <c r="AC233" s="1"/>
      <c r="AD233" s="1"/>
      <c r="AE233" s="1"/>
      <c r="AQ233" s="1"/>
    </row>
    <row r="234" spans="9:43" x14ac:dyDescent="0.25">
      <c r="I234" s="1"/>
      <c r="J234" s="1"/>
      <c r="K234" s="1"/>
      <c r="L234" s="1"/>
      <c r="M234" s="1"/>
      <c r="N234" s="1"/>
      <c r="O234" s="1"/>
      <c r="P234" s="1"/>
      <c r="Q234" s="1"/>
      <c r="R234" s="1"/>
      <c r="S234" s="1"/>
      <c r="T234" s="1"/>
      <c r="U234" s="1"/>
      <c r="V234" s="1"/>
      <c r="W234" s="1"/>
      <c r="X234" s="1"/>
      <c r="Y234" s="1"/>
      <c r="Z234" s="1"/>
      <c r="AA234" s="1"/>
      <c r="AB234" s="1"/>
      <c r="AC234" s="1"/>
      <c r="AD234" s="1"/>
      <c r="AE234" s="1"/>
      <c r="AQ234" s="1"/>
    </row>
    <row r="235" spans="9:43" x14ac:dyDescent="0.25">
      <c r="I235" s="1"/>
      <c r="J235" s="1"/>
      <c r="K235" s="1"/>
      <c r="L235" s="1"/>
      <c r="M235" s="1"/>
      <c r="N235" s="1"/>
      <c r="O235" s="1"/>
      <c r="P235" s="1"/>
      <c r="Q235" s="1"/>
      <c r="R235" s="1"/>
      <c r="S235" s="1"/>
      <c r="T235" s="1"/>
      <c r="U235" s="1"/>
      <c r="V235" s="1"/>
      <c r="W235" s="1"/>
      <c r="X235" s="1"/>
      <c r="Y235" s="1"/>
      <c r="Z235" s="1"/>
      <c r="AA235" s="1"/>
      <c r="AB235" s="1"/>
      <c r="AC235" s="1"/>
      <c r="AD235" s="1"/>
      <c r="AE235" s="1"/>
      <c r="AQ235" s="1"/>
    </row>
    <row r="236" spans="9:43" x14ac:dyDescent="0.25">
      <c r="I236" s="1"/>
      <c r="J236" s="1"/>
      <c r="K236" s="1"/>
      <c r="L236" s="1"/>
      <c r="M236" s="1"/>
      <c r="N236" s="1"/>
      <c r="O236" s="1"/>
      <c r="P236" s="1"/>
      <c r="Q236" s="1"/>
      <c r="R236" s="1"/>
      <c r="S236" s="1"/>
      <c r="T236" s="1"/>
      <c r="U236" s="1"/>
      <c r="V236" s="1"/>
      <c r="W236" s="1"/>
      <c r="X236" s="1"/>
      <c r="Y236" s="1"/>
      <c r="Z236" s="1"/>
      <c r="AA236" s="1"/>
      <c r="AB236" s="1"/>
      <c r="AC236" s="1"/>
      <c r="AD236" s="1"/>
      <c r="AE236" s="1"/>
      <c r="AQ236" s="1"/>
    </row>
    <row r="237" spans="9:43" x14ac:dyDescent="0.25">
      <c r="I237" s="1"/>
      <c r="J237" s="1"/>
      <c r="K237" s="1"/>
      <c r="L237" s="1"/>
      <c r="M237" s="1"/>
      <c r="N237" s="1"/>
      <c r="O237" s="1"/>
      <c r="P237" s="1"/>
      <c r="Q237" s="1"/>
      <c r="R237" s="1"/>
      <c r="S237" s="1"/>
      <c r="T237" s="1"/>
      <c r="U237" s="1"/>
      <c r="V237" s="1"/>
      <c r="W237" s="1"/>
      <c r="X237" s="1"/>
      <c r="Y237" s="1"/>
      <c r="Z237" s="1"/>
      <c r="AA237" s="1"/>
      <c r="AB237" s="1"/>
      <c r="AC237" s="1"/>
      <c r="AD237" s="1"/>
      <c r="AE237" s="1"/>
      <c r="AQ237" s="1"/>
    </row>
    <row r="238" spans="9:43" x14ac:dyDescent="0.25">
      <c r="I238" s="1"/>
      <c r="J238" s="1"/>
      <c r="K238" s="1"/>
      <c r="L238" s="1"/>
      <c r="M238" s="1"/>
      <c r="N238" s="1"/>
      <c r="O238" s="1"/>
      <c r="P238" s="1"/>
      <c r="Q238" s="1"/>
      <c r="R238" s="1"/>
      <c r="S238" s="1"/>
      <c r="T238" s="1"/>
      <c r="U238" s="1"/>
      <c r="V238" s="1"/>
      <c r="W238" s="1"/>
      <c r="X238" s="1"/>
      <c r="Y238" s="1"/>
      <c r="Z238" s="1"/>
      <c r="AA238" s="1"/>
      <c r="AB238" s="1"/>
      <c r="AC238" s="1"/>
      <c r="AD238" s="1"/>
      <c r="AE238" s="1"/>
      <c r="AQ238" s="1"/>
    </row>
    <row r="239" spans="9:43" x14ac:dyDescent="0.25">
      <c r="I239" s="1"/>
      <c r="J239" s="1"/>
      <c r="K239" s="1"/>
      <c r="L239" s="1"/>
      <c r="M239" s="1"/>
      <c r="N239" s="1"/>
      <c r="O239" s="1"/>
      <c r="P239" s="1"/>
      <c r="Q239" s="1"/>
      <c r="R239" s="1"/>
      <c r="S239" s="1"/>
      <c r="T239" s="1"/>
      <c r="U239" s="1"/>
      <c r="V239" s="1"/>
      <c r="W239" s="1"/>
      <c r="X239" s="1"/>
      <c r="Y239" s="1"/>
      <c r="Z239" s="1"/>
      <c r="AA239" s="1"/>
      <c r="AB239" s="1"/>
      <c r="AC239" s="1"/>
      <c r="AD239" s="1"/>
      <c r="AE239" s="1"/>
      <c r="AQ239" s="1"/>
    </row>
    <row r="240" spans="9:43" x14ac:dyDescent="0.25">
      <c r="I240" s="1"/>
      <c r="J240" s="1"/>
      <c r="K240" s="1"/>
      <c r="L240" s="1"/>
      <c r="M240" s="1"/>
      <c r="N240" s="1"/>
      <c r="O240" s="1"/>
      <c r="P240" s="1"/>
      <c r="Q240" s="1"/>
      <c r="R240" s="1"/>
      <c r="S240" s="1"/>
      <c r="T240" s="1"/>
      <c r="U240" s="1"/>
      <c r="V240" s="1"/>
      <c r="W240" s="1"/>
      <c r="X240" s="1"/>
      <c r="Y240" s="1"/>
      <c r="Z240" s="1"/>
      <c r="AA240" s="1"/>
      <c r="AB240" s="1"/>
      <c r="AC240" s="1"/>
      <c r="AD240" s="1"/>
      <c r="AE240" s="1"/>
      <c r="AQ240" s="1"/>
    </row>
    <row r="241" spans="9:43" x14ac:dyDescent="0.25">
      <c r="I241" s="1"/>
      <c r="J241" s="1"/>
      <c r="K241" s="1"/>
      <c r="L241" s="1"/>
      <c r="M241" s="1"/>
      <c r="N241" s="1"/>
      <c r="O241" s="1"/>
      <c r="P241" s="1"/>
      <c r="Q241" s="1"/>
      <c r="R241" s="1"/>
      <c r="S241" s="1"/>
      <c r="T241" s="1"/>
      <c r="U241" s="1"/>
      <c r="V241" s="1"/>
      <c r="W241" s="1"/>
      <c r="X241" s="1"/>
      <c r="Y241" s="1"/>
      <c r="Z241" s="1"/>
      <c r="AA241" s="1"/>
      <c r="AB241" s="1"/>
      <c r="AC241" s="1"/>
      <c r="AD241" s="1"/>
      <c r="AE241" s="1"/>
      <c r="AQ241" s="1"/>
    </row>
    <row r="242" spans="9:43" x14ac:dyDescent="0.25">
      <c r="I242" s="1"/>
      <c r="J242" s="1"/>
      <c r="K242" s="1"/>
      <c r="L242" s="1"/>
      <c r="M242" s="1"/>
      <c r="N242" s="1"/>
      <c r="O242" s="1"/>
      <c r="P242" s="1"/>
      <c r="Q242" s="1"/>
      <c r="R242" s="1"/>
      <c r="S242" s="1"/>
      <c r="T242" s="1"/>
      <c r="U242" s="1"/>
      <c r="V242" s="1"/>
      <c r="W242" s="1"/>
      <c r="X242" s="1"/>
      <c r="Y242" s="1"/>
      <c r="Z242" s="1"/>
      <c r="AA242" s="1"/>
      <c r="AB242" s="1"/>
      <c r="AC242" s="1"/>
      <c r="AD242" s="1"/>
      <c r="AE242" s="1"/>
      <c r="AQ242" s="1"/>
    </row>
    <row r="243" spans="9:43" x14ac:dyDescent="0.25">
      <c r="I243" s="1"/>
      <c r="J243" s="1"/>
      <c r="K243" s="1"/>
      <c r="L243" s="1"/>
      <c r="M243" s="1"/>
      <c r="N243" s="1"/>
      <c r="O243" s="1"/>
      <c r="P243" s="1"/>
      <c r="Q243" s="1"/>
      <c r="R243" s="1"/>
      <c r="S243" s="1"/>
      <c r="T243" s="1"/>
      <c r="U243" s="1"/>
      <c r="V243" s="1"/>
      <c r="W243" s="1"/>
      <c r="X243" s="1"/>
      <c r="Y243" s="1"/>
      <c r="Z243" s="1"/>
      <c r="AA243" s="1"/>
      <c r="AB243" s="1"/>
      <c r="AC243" s="1"/>
      <c r="AD243" s="1"/>
      <c r="AE243" s="1"/>
      <c r="AQ243" s="1"/>
    </row>
    <row r="244" spans="9:43" x14ac:dyDescent="0.25">
      <c r="I244" s="1"/>
      <c r="J244" s="1"/>
      <c r="K244" s="1"/>
      <c r="L244" s="1"/>
      <c r="M244" s="1"/>
      <c r="N244" s="1"/>
      <c r="O244" s="1"/>
      <c r="P244" s="1"/>
      <c r="Q244" s="1"/>
      <c r="R244" s="1"/>
      <c r="S244" s="1"/>
      <c r="T244" s="1"/>
      <c r="U244" s="1"/>
      <c r="V244" s="1"/>
      <c r="W244" s="1"/>
      <c r="X244" s="1"/>
      <c r="Y244" s="1"/>
      <c r="Z244" s="1"/>
      <c r="AA244" s="1"/>
      <c r="AB244" s="1"/>
      <c r="AC244" s="1"/>
      <c r="AD244" s="1"/>
      <c r="AE244" s="1"/>
      <c r="AQ244" s="1"/>
    </row>
    <row r="245" spans="9:43" x14ac:dyDescent="0.25">
      <c r="I245" s="1"/>
      <c r="J245" s="1"/>
      <c r="K245" s="1"/>
      <c r="L245" s="1"/>
      <c r="M245" s="1"/>
      <c r="N245" s="1"/>
      <c r="O245" s="1"/>
      <c r="P245" s="1"/>
      <c r="Q245" s="1"/>
      <c r="R245" s="1"/>
      <c r="S245" s="1"/>
      <c r="T245" s="1"/>
      <c r="U245" s="1"/>
      <c r="V245" s="1"/>
      <c r="W245" s="1"/>
      <c r="X245" s="1"/>
      <c r="Y245" s="1"/>
      <c r="Z245" s="1"/>
      <c r="AA245" s="1"/>
      <c r="AB245" s="1"/>
      <c r="AC245" s="1"/>
      <c r="AD245" s="1"/>
      <c r="AE245" s="1"/>
      <c r="AQ245" s="1"/>
    </row>
    <row r="246" spans="9:43" x14ac:dyDescent="0.25">
      <c r="I246" s="1"/>
      <c r="J246" s="1"/>
      <c r="K246" s="1"/>
      <c r="L246" s="1"/>
      <c r="M246" s="1"/>
      <c r="N246" s="1"/>
      <c r="O246" s="1"/>
      <c r="P246" s="1"/>
      <c r="Q246" s="1"/>
      <c r="R246" s="1"/>
      <c r="S246" s="1"/>
      <c r="T246" s="1"/>
      <c r="U246" s="1"/>
      <c r="V246" s="1"/>
      <c r="W246" s="1"/>
      <c r="X246" s="1"/>
      <c r="Y246" s="1"/>
      <c r="Z246" s="1"/>
      <c r="AA246" s="1"/>
      <c r="AB246" s="1"/>
      <c r="AC246" s="1"/>
      <c r="AD246" s="1"/>
      <c r="AE246" s="1"/>
      <c r="AQ246" s="1"/>
    </row>
    <row r="247" spans="9:43" x14ac:dyDescent="0.25">
      <c r="I247" s="1"/>
      <c r="J247" s="1"/>
      <c r="K247" s="1"/>
      <c r="L247" s="1"/>
      <c r="M247" s="1"/>
      <c r="N247" s="1"/>
      <c r="O247" s="1"/>
      <c r="P247" s="1"/>
      <c r="Q247" s="1"/>
      <c r="R247" s="1"/>
      <c r="S247" s="1"/>
      <c r="T247" s="1"/>
      <c r="U247" s="1"/>
      <c r="V247" s="1"/>
      <c r="W247" s="1"/>
      <c r="X247" s="1"/>
      <c r="Y247" s="1"/>
      <c r="Z247" s="1"/>
      <c r="AA247" s="1"/>
      <c r="AB247" s="1"/>
      <c r="AC247" s="1"/>
      <c r="AD247" s="1"/>
      <c r="AE247" s="1"/>
      <c r="AQ247" s="1"/>
    </row>
    <row r="248" spans="9:43" x14ac:dyDescent="0.25">
      <c r="I248" s="1"/>
      <c r="J248" s="1"/>
      <c r="K248" s="1"/>
      <c r="L248" s="1"/>
      <c r="M248" s="1"/>
      <c r="N248" s="1"/>
      <c r="O248" s="1"/>
      <c r="P248" s="1"/>
      <c r="Q248" s="1"/>
      <c r="R248" s="1"/>
      <c r="S248" s="1"/>
      <c r="T248" s="1"/>
      <c r="U248" s="1"/>
      <c r="V248" s="1"/>
      <c r="W248" s="1"/>
      <c r="X248" s="1"/>
      <c r="Y248" s="1"/>
      <c r="Z248" s="1"/>
      <c r="AA248" s="1"/>
      <c r="AB248" s="1"/>
      <c r="AC248" s="1"/>
      <c r="AD248" s="1"/>
      <c r="AE248" s="1"/>
      <c r="AQ248" s="1"/>
    </row>
    <row r="249" spans="9:43" x14ac:dyDescent="0.25">
      <c r="I249" s="1"/>
      <c r="J249" s="1"/>
      <c r="K249" s="1"/>
      <c r="L249" s="1"/>
      <c r="M249" s="1"/>
      <c r="N249" s="1"/>
      <c r="O249" s="1"/>
      <c r="P249" s="1"/>
      <c r="Q249" s="1"/>
      <c r="R249" s="1"/>
      <c r="S249" s="1"/>
      <c r="T249" s="1"/>
      <c r="U249" s="1"/>
      <c r="V249" s="1"/>
      <c r="W249" s="1"/>
      <c r="X249" s="1"/>
      <c r="Y249" s="1"/>
      <c r="Z249" s="1"/>
      <c r="AA249" s="1"/>
      <c r="AB249" s="1"/>
      <c r="AC249" s="1"/>
      <c r="AD249" s="1"/>
      <c r="AE249" s="1"/>
      <c r="AQ249" s="1"/>
    </row>
    <row r="250" spans="9:43" x14ac:dyDescent="0.25">
      <c r="I250" s="1"/>
      <c r="J250" s="1"/>
      <c r="K250" s="1"/>
      <c r="L250" s="1"/>
      <c r="M250" s="1"/>
      <c r="N250" s="1"/>
      <c r="O250" s="1"/>
      <c r="P250" s="1"/>
      <c r="Q250" s="1"/>
      <c r="R250" s="1"/>
      <c r="S250" s="1"/>
      <c r="T250" s="1"/>
      <c r="U250" s="1"/>
      <c r="V250" s="1"/>
      <c r="W250" s="1"/>
      <c r="X250" s="1"/>
      <c r="Y250" s="1"/>
      <c r="Z250" s="1"/>
      <c r="AA250" s="1"/>
      <c r="AB250" s="1"/>
      <c r="AC250" s="1"/>
      <c r="AD250" s="1"/>
      <c r="AE250" s="1"/>
      <c r="AQ250" s="1"/>
    </row>
    <row r="251" spans="9:43" x14ac:dyDescent="0.25">
      <c r="I251" s="1"/>
      <c r="J251" s="1"/>
      <c r="K251" s="1"/>
      <c r="L251" s="1"/>
      <c r="M251" s="1"/>
      <c r="N251" s="1"/>
      <c r="O251" s="1"/>
      <c r="P251" s="1"/>
      <c r="Q251" s="1"/>
      <c r="R251" s="1"/>
      <c r="S251" s="1"/>
      <c r="T251" s="1"/>
      <c r="U251" s="1"/>
      <c r="V251" s="1"/>
      <c r="W251" s="1"/>
      <c r="X251" s="1"/>
      <c r="Y251" s="1"/>
      <c r="Z251" s="1"/>
      <c r="AA251" s="1"/>
      <c r="AB251" s="1"/>
      <c r="AC251" s="1"/>
      <c r="AD251" s="1"/>
      <c r="AE251" s="1"/>
      <c r="AQ251" s="1"/>
    </row>
    <row r="252" spans="9:43" x14ac:dyDescent="0.25">
      <c r="I252" s="1"/>
      <c r="J252" s="1"/>
      <c r="K252" s="1"/>
      <c r="L252" s="1"/>
      <c r="M252" s="1"/>
      <c r="N252" s="1"/>
      <c r="O252" s="1"/>
      <c r="P252" s="1"/>
      <c r="Q252" s="1"/>
      <c r="R252" s="1"/>
      <c r="S252" s="1"/>
      <c r="T252" s="1"/>
      <c r="U252" s="1"/>
      <c r="V252" s="1"/>
      <c r="W252" s="1"/>
      <c r="X252" s="1"/>
      <c r="Y252" s="1"/>
      <c r="Z252" s="1"/>
      <c r="AA252" s="1"/>
      <c r="AB252" s="1"/>
      <c r="AC252" s="1"/>
      <c r="AD252" s="1"/>
      <c r="AE252" s="1"/>
      <c r="AQ252" s="1"/>
    </row>
    <row r="253" spans="9:43" x14ac:dyDescent="0.25">
      <c r="I253" s="1"/>
      <c r="J253" s="1"/>
      <c r="K253" s="1"/>
      <c r="L253" s="1"/>
      <c r="M253" s="1"/>
      <c r="N253" s="1"/>
      <c r="O253" s="1"/>
      <c r="P253" s="1"/>
      <c r="Q253" s="1"/>
      <c r="R253" s="1"/>
      <c r="S253" s="1"/>
      <c r="T253" s="1"/>
      <c r="U253" s="1"/>
      <c r="V253" s="1"/>
      <c r="W253" s="1"/>
      <c r="X253" s="1"/>
      <c r="Y253" s="1"/>
      <c r="Z253" s="1"/>
      <c r="AA253" s="1"/>
      <c r="AB253" s="1"/>
      <c r="AC253" s="1"/>
      <c r="AD253" s="1"/>
      <c r="AE253" s="1"/>
      <c r="AQ253" s="1"/>
    </row>
    <row r="254" spans="9:43" x14ac:dyDescent="0.25">
      <c r="I254" s="1"/>
      <c r="J254" s="1"/>
      <c r="K254" s="1"/>
      <c r="L254" s="1"/>
      <c r="M254" s="1"/>
      <c r="N254" s="1"/>
      <c r="O254" s="1"/>
      <c r="P254" s="1"/>
      <c r="Q254" s="1"/>
      <c r="R254" s="1"/>
      <c r="S254" s="1"/>
      <c r="T254" s="1"/>
      <c r="U254" s="1"/>
      <c r="V254" s="1"/>
      <c r="W254" s="1"/>
      <c r="X254" s="1"/>
      <c r="Y254" s="1"/>
      <c r="Z254" s="1"/>
      <c r="AA254" s="1"/>
      <c r="AB254" s="1"/>
      <c r="AC254" s="1"/>
      <c r="AD254" s="1"/>
      <c r="AE254" s="1"/>
      <c r="AQ254" s="1"/>
    </row>
    <row r="255" spans="9:43" x14ac:dyDescent="0.25">
      <c r="I255" s="1"/>
      <c r="J255" s="1"/>
      <c r="K255" s="1"/>
      <c r="L255" s="1"/>
      <c r="M255" s="1"/>
      <c r="N255" s="1"/>
      <c r="O255" s="1"/>
      <c r="P255" s="1"/>
      <c r="Q255" s="1"/>
      <c r="R255" s="1"/>
      <c r="S255" s="1"/>
      <c r="T255" s="1"/>
      <c r="U255" s="1"/>
      <c r="V255" s="1"/>
      <c r="W255" s="1"/>
      <c r="X255" s="1"/>
      <c r="Y255" s="1"/>
      <c r="Z255" s="1"/>
      <c r="AA255" s="1"/>
      <c r="AB255" s="1"/>
      <c r="AC255" s="1"/>
      <c r="AD255" s="1"/>
      <c r="AE255" s="1"/>
      <c r="AQ255" s="1"/>
    </row>
    <row r="256" spans="9:43" x14ac:dyDescent="0.25">
      <c r="I256" s="1"/>
      <c r="J256" s="1"/>
      <c r="K256" s="1"/>
      <c r="L256" s="1"/>
      <c r="M256" s="1"/>
      <c r="N256" s="1"/>
      <c r="O256" s="1"/>
      <c r="P256" s="1"/>
      <c r="Q256" s="1"/>
      <c r="R256" s="1"/>
      <c r="S256" s="1"/>
      <c r="T256" s="1"/>
      <c r="U256" s="1"/>
      <c r="V256" s="1"/>
      <c r="W256" s="1"/>
      <c r="X256" s="1"/>
      <c r="Y256" s="1"/>
      <c r="Z256" s="1"/>
      <c r="AA256" s="1"/>
      <c r="AB256" s="1"/>
      <c r="AC256" s="1"/>
      <c r="AD256" s="1"/>
      <c r="AE256" s="1"/>
      <c r="AQ256" s="1"/>
    </row>
    <row r="257" spans="9:43" x14ac:dyDescent="0.25">
      <c r="I257" s="1"/>
      <c r="J257" s="1"/>
      <c r="K257" s="1"/>
      <c r="L257" s="1"/>
      <c r="M257" s="1"/>
      <c r="N257" s="1"/>
      <c r="O257" s="1"/>
      <c r="P257" s="1"/>
      <c r="Q257" s="1"/>
      <c r="R257" s="1"/>
      <c r="S257" s="1"/>
      <c r="T257" s="1"/>
      <c r="U257" s="1"/>
      <c r="V257" s="1"/>
      <c r="W257" s="1"/>
      <c r="X257" s="1"/>
      <c r="Y257" s="1"/>
      <c r="Z257" s="1"/>
      <c r="AA257" s="1"/>
      <c r="AB257" s="1"/>
      <c r="AC257" s="1"/>
      <c r="AD257" s="1"/>
      <c r="AE257" s="1"/>
      <c r="AQ257" s="1"/>
    </row>
    <row r="258" spans="9:43" x14ac:dyDescent="0.25">
      <c r="I258" s="1"/>
      <c r="J258" s="1"/>
      <c r="K258" s="1"/>
      <c r="L258" s="1"/>
      <c r="M258" s="1"/>
      <c r="N258" s="1"/>
      <c r="O258" s="1"/>
      <c r="P258" s="1"/>
      <c r="Q258" s="1"/>
      <c r="R258" s="1"/>
      <c r="S258" s="1"/>
      <c r="T258" s="1"/>
      <c r="U258" s="1"/>
      <c r="V258" s="1"/>
      <c r="W258" s="1"/>
      <c r="X258" s="1"/>
      <c r="Y258" s="1"/>
      <c r="Z258" s="1"/>
      <c r="AA258" s="1"/>
      <c r="AB258" s="1"/>
      <c r="AC258" s="1"/>
      <c r="AD258" s="1"/>
      <c r="AE258" s="1"/>
      <c r="AQ258" s="1"/>
    </row>
    <row r="259" spans="9:43" x14ac:dyDescent="0.25">
      <c r="I259" s="1"/>
      <c r="J259" s="1"/>
      <c r="K259" s="1"/>
      <c r="L259" s="1"/>
      <c r="M259" s="1"/>
      <c r="N259" s="1"/>
      <c r="O259" s="1"/>
      <c r="P259" s="1"/>
      <c r="Q259" s="1"/>
      <c r="R259" s="1"/>
      <c r="S259" s="1"/>
      <c r="T259" s="1"/>
      <c r="U259" s="1"/>
      <c r="V259" s="1"/>
      <c r="W259" s="1"/>
      <c r="X259" s="1"/>
      <c r="Y259" s="1"/>
      <c r="Z259" s="1"/>
      <c r="AA259" s="1"/>
      <c r="AB259" s="1"/>
      <c r="AC259" s="1"/>
      <c r="AD259" s="1"/>
      <c r="AE259" s="1"/>
      <c r="AQ259" s="1"/>
    </row>
    <row r="260" spans="9:43" x14ac:dyDescent="0.25">
      <c r="I260" s="1"/>
      <c r="J260" s="1"/>
      <c r="K260" s="1"/>
      <c r="L260" s="1"/>
      <c r="M260" s="1"/>
      <c r="N260" s="1"/>
      <c r="O260" s="1"/>
      <c r="P260" s="1"/>
      <c r="Q260" s="1"/>
      <c r="R260" s="1"/>
      <c r="S260" s="1"/>
      <c r="T260" s="1"/>
      <c r="U260" s="1"/>
      <c r="V260" s="1"/>
      <c r="W260" s="1"/>
      <c r="X260" s="1"/>
      <c r="Y260" s="1"/>
      <c r="Z260" s="1"/>
      <c r="AA260" s="1"/>
      <c r="AB260" s="1"/>
      <c r="AC260" s="1"/>
      <c r="AD260" s="1"/>
      <c r="AE260" s="1"/>
      <c r="AQ260" s="1"/>
    </row>
    <row r="261" spans="9:43" x14ac:dyDescent="0.25">
      <c r="I261" s="1"/>
      <c r="J261" s="1"/>
      <c r="K261" s="1"/>
      <c r="L261" s="1"/>
      <c r="M261" s="1"/>
      <c r="N261" s="1"/>
      <c r="O261" s="1"/>
      <c r="P261" s="1"/>
      <c r="Q261" s="1"/>
      <c r="R261" s="1"/>
      <c r="S261" s="1"/>
      <c r="T261" s="1"/>
      <c r="U261" s="1"/>
      <c r="V261" s="1"/>
      <c r="W261" s="1"/>
      <c r="X261" s="1"/>
      <c r="Y261" s="1"/>
      <c r="Z261" s="1"/>
      <c r="AA261" s="1"/>
      <c r="AB261" s="1"/>
      <c r="AC261" s="1"/>
      <c r="AD261" s="1"/>
      <c r="AE261" s="1"/>
      <c r="AQ261" s="1"/>
    </row>
    <row r="262" spans="9:43" x14ac:dyDescent="0.25">
      <c r="I262" s="1"/>
      <c r="J262" s="1"/>
      <c r="K262" s="1"/>
      <c r="L262" s="1"/>
      <c r="M262" s="1"/>
      <c r="N262" s="1"/>
      <c r="O262" s="1"/>
      <c r="P262" s="1"/>
      <c r="Q262" s="1"/>
      <c r="R262" s="1"/>
      <c r="S262" s="1"/>
      <c r="T262" s="1"/>
      <c r="U262" s="1"/>
      <c r="V262" s="1"/>
      <c r="W262" s="1"/>
      <c r="X262" s="1"/>
      <c r="Y262" s="1"/>
      <c r="Z262" s="1"/>
      <c r="AA262" s="1"/>
      <c r="AB262" s="1"/>
      <c r="AC262" s="1"/>
      <c r="AD262" s="1"/>
      <c r="AE262" s="1"/>
      <c r="AQ262" s="1"/>
    </row>
    <row r="263" spans="9:43" x14ac:dyDescent="0.25">
      <c r="I263" s="1"/>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H116"/>
    <mergeCell ref="AE117:AF118"/>
    <mergeCell ref="AH117:AI118"/>
    <mergeCell ref="AK117:AM117"/>
    <mergeCell ref="A118:H118"/>
    <mergeCell ref="AG117:AG118"/>
    <mergeCell ref="AJ117:AJ118"/>
    <mergeCell ref="A119:H119"/>
    <mergeCell ref="AE119:AJ120"/>
    <mergeCell ref="A120:H120"/>
    <mergeCell ref="AK119:AK120"/>
    <mergeCell ref="AL119:AL120"/>
    <mergeCell ref="AM119:AM120"/>
    <mergeCell ref="G121:H121"/>
    <mergeCell ref="AE121:AJ122"/>
    <mergeCell ref="A121:A122"/>
    <mergeCell ref="B121:B122"/>
    <mergeCell ref="G122:H122"/>
    <mergeCell ref="AK121:AK122"/>
    <mergeCell ref="AL121:AL122"/>
    <mergeCell ref="AM121:AM122"/>
    <mergeCell ref="G123:H123"/>
    <mergeCell ref="AE123:AJ124"/>
    <mergeCell ref="A123:A124"/>
    <mergeCell ref="B123:B124"/>
    <mergeCell ref="G124:H124"/>
    <mergeCell ref="AK123:AK124"/>
    <mergeCell ref="AL123:AL124"/>
    <mergeCell ref="AM123:AM124"/>
    <mergeCell ref="G125:H125"/>
    <mergeCell ref="AE125:AJ126"/>
    <mergeCell ref="A125:A126"/>
    <mergeCell ref="B125:B126"/>
    <mergeCell ref="G126:H126"/>
    <mergeCell ref="AK125:AK126"/>
    <mergeCell ref="AL125:AL126"/>
    <mergeCell ref="AM125:AM126"/>
    <mergeCell ref="A127:H127"/>
    <mergeCell ref="AE127:AJ127"/>
    <mergeCell ref="A128:H129"/>
    <mergeCell ref="AE128:AJ129"/>
    <mergeCell ref="AK128:AK129"/>
    <mergeCell ref="AL128:AL129"/>
    <mergeCell ref="AM128:AM129"/>
    <mergeCell ref="A130:H131"/>
    <mergeCell ref="AE130:AJ131"/>
    <mergeCell ref="AK130:AK131"/>
    <mergeCell ref="AL130:AL131"/>
    <mergeCell ref="AM130:AM131"/>
    <mergeCell ref="AE132:AJ133"/>
    <mergeCell ref="B133:H133"/>
    <mergeCell ref="AK132:AK133"/>
    <mergeCell ref="AL132:AL133"/>
    <mergeCell ref="AM132:AM133"/>
    <mergeCell ref="AE134:AJ135"/>
    <mergeCell ref="AK134:AK135"/>
    <mergeCell ref="AL134:AL135"/>
    <mergeCell ref="AM134:AM135"/>
    <mergeCell ref="B136:H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115</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3</v>
      </c>
      <c r="H10" s="35">
        <v>4</v>
      </c>
      <c r="I10" s="35">
        <v>5</v>
      </c>
      <c r="J10" s="35">
        <v>6</v>
      </c>
      <c r="K10" s="36">
        <v>7</v>
      </c>
      <c r="L10" s="37">
        <v>10</v>
      </c>
      <c r="M10" s="35">
        <v>11</v>
      </c>
      <c r="N10" s="35">
        <v>12</v>
      </c>
      <c r="O10" s="35">
        <v>13</v>
      </c>
      <c r="P10" s="38">
        <v>14</v>
      </c>
      <c r="Q10" s="34">
        <v>17</v>
      </c>
      <c r="R10" s="35">
        <v>18</v>
      </c>
      <c r="S10" s="35">
        <v>19</v>
      </c>
      <c r="T10" s="35">
        <v>20</v>
      </c>
      <c r="U10" s="36">
        <v>21</v>
      </c>
      <c r="V10" s="37">
        <v>24</v>
      </c>
      <c r="W10" s="35">
        <v>25</v>
      </c>
      <c r="X10" s="35">
        <v>26</v>
      </c>
      <c r="Y10" s="35">
        <v>27</v>
      </c>
      <c r="Z10" s="38">
        <v>28</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t="s">
        <v>24</v>
      </c>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t="s">
        <v>24</v>
      </c>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t="s">
        <v>24</v>
      </c>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t="s">
        <v>24</v>
      </c>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t="s">
        <v>24</v>
      </c>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t="s">
        <v>24</v>
      </c>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G10" sqref="G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v>1</v>
      </c>
      <c r="H10" s="35">
        <v>2</v>
      </c>
      <c r="I10" s="35">
        <v>3</v>
      </c>
      <c r="J10" s="35">
        <v>4</v>
      </c>
      <c r="K10" s="36">
        <v>5</v>
      </c>
      <c r="L10" s="37">
        <v>8</v>
      </c>
      <c r="M10" s="35">
        <v>9</v>
      </c>
      <c r="N10" s="35">
        <v>10</v>
      </c>
      <c r="O10" s="35">
        <v>11</v>
      </c>
      <c r="P10" s="38">
        <v>12</v>
      </c>
      <c r="Q10" s="34">
        <v>15</v>
      </c>
      <c r="R10" s="35">
        <v>16</v>
      </c>
      <c r="S10" s="35">
        <v>17</v>
      </c>
      <c r="T10" s="35">
        <v>18</v>
      </c>
      <c r="U10" s="36">
        <v>19</v>
      </c>
      <c r="V10" s="37">
        <v>22</v>
      </c>
      <c r="W10" s="35">
        <v>23</v>
      </c>
      <c r="X10" s="35">
        <v>24</v>
      </c>
      <c r="Y10" s="35">
        <v>25</v>
      </c>
      <c r="Z10" s="38">
        <v>26</v>
      </c>
      <c r="AA10" s="34">
        <v>29</v>
      </c>
      <c r="AB10" s="35">
        <v>30</v>
      </c>
      <c r="AC10" s="35">
        <v>31</v>
      </c>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1"/>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1"/>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C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C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C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C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C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C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C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C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C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C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C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C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C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C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C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C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C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C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C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C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C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C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C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C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C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C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C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C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C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C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C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C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C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C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C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C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C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C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C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C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C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C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C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C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C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C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C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C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C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C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C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C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C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C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C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C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C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C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C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C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C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C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C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C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C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C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C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C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C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C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C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C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C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C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C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C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C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C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C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C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C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C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C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C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C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C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C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C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C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C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C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C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C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C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C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C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C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C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C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C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C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C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C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C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C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C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C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C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C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C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C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C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C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C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C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C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C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J10" sqref="J10"/>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117</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c r="H10" s="35"/>
      <c r="I10" s="35"/>
      <c r="J10" s="35">
        <v>1</v>
      </c>
      <c r="K10" s="36">
        <v>2</v>
      </c>
      <c r="L10" s="37">
        <v>5</v>
      </c>
      <c r="M10" s="35">
        <v>6</v>
      </c>
      <c r="N10" s="35">
        <v>7</v>
      </c>
      <c r="O10" s="35">
        <v>8</v>
      </c>
      <c r="P10" s="38">
        <v>9</v>
      </c>
      <c r="Q10" s="34">
        <v>12</v>
      </c>
      <c r="R10" s="35">
        <v>13</v>
      </c>
      <c r="S10" s="35">
        <v>14</v>
      </c>
      <c r="T10" s="35">
        <v>15</v>
      </c>
      <c r="U10" s="36">
        <v>16</v>
      </c>
      <c r="V10" s="37">
        <v>19</v>
      </c>
      <c r="W10" s="35">
        <v>20</v>
      </c>
      <c r="X10" s="35">
        <v>21</v>
      </c>
      <c r="Y10" s="35">
        <v>22</v>
      </c>
      <c r="Z10" s="38">
        <v>23</v>
      </c>
      <c r="AA10" s="34">
        <v>26</v>
      </c>
      <c r="AB10" s="35">
        <v>27</v>
      </c>
      <c r="AC10" s="35">
        <v>28</v>
      </c>
      <c r="AD10" s="35">
        <v>29</v>
      </c>
      <c r="AE10" s="36">
        <v>30</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c>
      <c r="H63" s="91">
        <f t="shared" si="3"/>
      </c>
      <c r="I63" s="91">
        <f t="shared" si="3"/>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v>0</v>
      </c>
      <c r="AD63" s="91">
        <f t="shared" si="3"/>
        <v>0</v>
      </c>
      <c r="AE63" s="92">
        <f t="shared" si="3"/>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c>
      <c r="H114" s="91">
        <f t="shared" si="6"/>
      </c>
      <c r="I114" s="91">
        <f t="shared" si="6"/>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v>0</v>
      </c>
      <c r="AD114" s="91">
        <f t="shared" si="6"/>
        <v>0</v>
      </c>
      <c r="AE114" s="92">
        <f t="shared" si="6"/>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c>
      <c r="H115" s="111">
        <f t="shared" si="7"/>
      </c>
      <c r="I115" s="111">
        <f t="shared" si="7"/>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v>0</v>
      </c>
      <c r="AD115" s="111">
        <f t="shared" si="7"/>
        <v>0</v>
      </c>
      <c r="AE115" s="112">
        <f t="shared" si="7"/>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37"/>
      <c r="H118" s="137"/>
      <c r="I118" s="137"/>
      <c r="J118" s="1"/>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37"/>
      <c r="H120" s="137"/>
      <c r="I120" s="137"/>
      <c r="J120" s="1"/>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70"/>
      <c r="I122" s="170"/>
      <c r="J122" s="1"/>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70"/>
      <c r="I124" s="170"/>
      <c r="J124" s="1"/>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63"/>
      <c r="I126" s="163"/>
      <c r="J126" s="1"/>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88"/>
      <c r="H129" s="188"/>
      <c r="I129" s="188"/>
      <c r="J129" s="1"/>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91"/>
      <c r="H131" s="191"/>
      <c r="I131" s="191"/>
      <c r="J131" s="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91"/>
      <c r="H133" s="191"/>
      <c r="I133" s="191"/>
      <c r="J133" s="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1"/>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J138" s="1"/>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J141" s="1"/>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J143" s="1"/>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0:43" x14ac:dyDescent="0.25">
      <c r="J147" s="1"/>
      <c r="K147" s="1"/>
      <c r="L147" s="1"/>
      <c r="M147" s="1"/>
      <c r="N147" s="1"/>
      <c r="O147" s="1"/>
      <c r="P147" s="1"/>
      <c r="Q147" s="1"/>
      <c r="R147" s="1"/>
      <c r="S147" s="1"/>
      <c r="T147" s="1"/>
      <c r="U147" s="1"/>
      <c r="V147" s="1"/>
      <c r="W147" s="1"/>
      <c r="X147" s="1"/>
      <c r="Y147" s="1"/>
      <c r="Z147" s="1"/>
      <c r="AA147" s="1"/>
      <c r="AB147" s="1"/>
      <c r="AC147" s="1"/>
      <c r="AD147" s="1"/>
      <c r="AE147" s="1"/>
      <c r="AQ147" s="1"/>
    </row>
    <row r="148" spans="10:43" x14ac:dyDescent="0.25">
      <c r="J148" s="1"/>
      <c r="K148" s="1"/>
      <c r="L148" s="1"/>
      <c r="M148" s="1"/>
      <c r="N148" s="1"/>
      <c r="O148" s="1"/>
      <c r="P148" s="1"/>
      <c r="Q148" s="1"/>
      <c r="R148" s="1"/>
      <c r="S148" s="1"/>
      <c r="T148" s="1"/>
      <c r="U148" s="1"/>
      <c r="V148" s="1"/>
      <c r="W148" s="1"/>
      <c r="X148" s="1"/>
      <c r="Y148" s="1"/>
      <c r="Z148" s="1"/>
      <c r="AA148" s="1"/>
      <c r="AB148" s="1"/>
      <c r="AC148" s="1"/>
      <c r="AD148" s="1"/>
      <c r="AE148" s="1"/>
      <c r="AQ148" s="1"/>
    </row>
    <row r="149" spans="10:43" x14ac:dyDescent="0.25">
      <c r="J149" s="1"/>
      <c r="K149" s="1"/>
      <c r="L149" s="1"/>
      <c r="M149" s="1"/>
      <c r="N149" s="1"/>
      <c r="O149" s="1"/>
      <c r="P149" s="1"/>
      <c r="Q149" s="1"/>
      <c r="R149" s="1"/>
      <c r="S149" s="1"/>
      <c r="T149" s="1"/>
      <c r="U149" s="1"/>
      <c r="V149" s="1"/>
      <c r="W149" s="1"/>
      <c r="X149" s="1"/>
      <c r="Y149" s="1"/>
      <c r="Z149" s="1"/>
      <c r="AA149" s="1"/>
      <c r="AB149" s="1"/>
      <c r="AC149" s="1"/>
      <c r="AD149" s="1"/>
      <c r="AE149" s="1"/>
      <c r="AQ149" s="1"/>
    </row>
    <row r="150" spans="10:43" x14ac:dyDescent="0.25">
      <c r="J150" s="1"/>
      <c r="K150" s="1"/>
      <c r="L150" s="1"/>
      <c r="M150" s="1"/>
      <c r="N150" s="1"/>
      <c r="O150" s="1"/>
      <c r="P150" s="1"/>
      <c r="Q150" s="1"/>
      <c r="R150" s="1"/>
      <c r="S150" s="1"/>
      <c r="T150" s="1"/>
      <c r="U150" s="1"/>
      <c r="V150" s="1"/>
      <c r="W150" s="1"/>
      <c r="X150" s="1"/>
      <c r="Y150" s="1"/>
      <c r="Z150" s="1"/>
      <c r="AA150" s="1"/>
      <c r="AB150" s="1"/>
      <c r="AC150" s="1"/>
      <c r="AD150" s="1"/>
      <c r="AE150" s="1"/>
      <c r="AQ150" s="1"/>
    </row>
    <row r="151" spans="10:43" x14ac:dyDescent="0.25">
      <c r="J151" s="1"/>
      <c r="K151" s="1"/>
      <c r="L151" s="1"/>
      <c r="M151" s="1"/>
      <c r="N151" s="1"/>
      <c r="O151" s="1"/>
      <c r="P151" s="1"/>
      <c r="Q151" s="1"/>
      <c r="R151" s="1"/>
      <c r="S151" s="1"/>
      <c r="T151" s="1"/>
      <c r="U151" s="1"/>
      <c r="V151" s="1"/>
      <c r="W151" s="1"/>
      <c r="X151" s="1"/>
      <c r="Y151" s="1"/>
      <c r="Z151" s="1"/>
      <c r="AA151" s="1"/>
      <c r="AB151" s="1"/>
      <c r="AC151" s="1"/>
      <c r="AD151" s="1"/>
      <c r="AE151" s="1"/>
      <c r="AQ151" s="1"/>
    </row>
    <row r="152" spans="10:43" x14ac:dyDescent="0.25">
      <c r="J152" s="1"/>
      <c r="K152" s="1"/>
      <c r="L152" s="1"/>
      <c r="M152" s="1"/>
      <c r="N152" s="1"/>
      <c r="O152" s="1"/>
      <c r="P152" s="1"/>
      <c r="Q152" s="1"/>
      <c r="R152" s="1"/>
      <c r="S152" s="1"/>
      <c r="T152" s="1"/>
      <c r="U152" s="1"/>
      <c r="V152" s="1"/>
      <c r="W152" s="1"/>
      <c r="X152" s="1"/>
      <c r="Y152" s="1"/>
      <c r="Z152" s="1"/>
      <c r="AA152" s="1"/>
      <c r="AB152" s="1"/>
      <c r="AC152" s="1"/>
      <c r="AD152" s="1"/>
      <c r="AE152" s="1"/>
      <c r="AQ152" s="1"/>
    </row>
    <row r="153" spans="10:43" x14ac:dyDescent="0.25">
      <c r="J153" s="1"/>
      <c r="K153" s="1"/>
      <c r="L153" s="1"/>
      <c r="M153" s="1"/>
      <c r="N153" s="1"/>
      <c r="O153" s="1"/>
      <c r="P153" s="1"/>
      <c r="Q153" s="1"/>
      <c r="R153" s="1"/>
      <c r="S153" s="1"/>
      <c r="T153" s="1"/>
      <c r="U153" s="1"/>
      <c r="V153" s="1"/>
      <c r="W153" s="1"/>
      <c r="X153" s="1"/>
      <c r="Y153" s="1"/>
      <c r="Z153" s="1"/>
      <c r="AA153" s="1"/>
      <c r="AB153" s="1"/>
      <c r="AC153" s="1"/>
      <c r="AD153" s="1"/>
      <c r="AE153" s="1"/>
      <c r="AQ153" s="1"/>
    </row>
    <row r="154" spans="10:43" x14ac:dyDescent="0.25">
      <c r="J154" s="1"/>
      <c r="K154" s="1"/>
      <c r="L154" s="1"/>
      <c r="M154" s="1"/>
      <c r="N154" s="1"/>
      <c r="O154" s="1"/>
      <c r="P154" s="1"/>
      <c r="Q154" s="1"/>
      <c r="R154" s="1"/>
      <c r="S154" s="1"/>
      <c r="T154" s="1"/>
      <c r="U154" s="1"/>
      <c r="V154" s="1"/>
      <c r="W154" s="1"/>
      <c r="X154" s="1"/>
      <c r="Y154" s="1"/>
      <c r="Z154" s="1"/>
      <c r="AA154" s="1"/>
      <c r="AB154" s="1"/>
      <c r="AC154" s="1"/>
      <c r="AD154" s="1"/>
      <c r="AE154" s="1"/>
      <c r="AQ154" s="1"/>
    </row>
    <row r="155" spans="10:43" x14ac:dyDescent="0.25">
      <c r="J155" s="1"/>
      <c r="K155" s="1"/>
      <c r="L155" s="1"/>
      <c r="M155" s="1"/>
      <c r="N155" s="1"/>
      <c r="O155" s="1"/>
      <c r="P155" s="1"/>
      <c r="Q155" s="1"/>
      <c r="R155" s="1"/>
      <c r="S155" s="1"/>
      <c r="T155" s="1"/>
      <c r="U155" s="1"/>
      <c r="V155" s="1"/>
      <c r="W155" s="1"/>
      <c r="X155" s="1"/>
      <c r="Y155" s="1"/>
      <c r="Z155" s="1"/>
      <c r="AA155" s="1"/>
      <c r="AB155" s="1"/>
      <c r="AC155" s="1"/>
      <c r="AD155" s="1"/>
      <c r="AE155" s="1"/>
      <c r="AQ155" s="1"/>
    </row>
    <row r="156" spans="10:43" x14ac:dyDescent="0.25">
      <c r="J156" s="1"/>
      <c r="K156" s="1"/>
      <c r="L156" s="1"/>
      <c r="M156" s="1"/>
      <c r="N156" s="1"/>
      <c r="O156" s="1"/>
      <c r="P156" s="1"/>
      <c r="Q156" s="1"/>
      <c r="R156" s="1"/>
      <c r="S156" s="1"/>
      <c r="T156" s="1"/>
      <c r="U156" s="1"/>
      <c r="V156" s="1"/>
      <c r="W156" s="1"/>
      <c r="X156" s="1"/>
      <c r="Y156" s="1"/>
      <c r="Z156" s="1"/>
      <c r="AA156" s="1"/>
      <c r="AB156" s="1"/>
      <c r="AC156" s="1"/>
      <c r="AD156" s="1"/>
      <c r="AE156" s="1"/>
      <c r="AQ156" s="1"/>
    </row>
    <row r="157" spans="10:43" x14ac:dyDescent="0.25">
      <c r="J157" s="1"/>
      <c r="K157" s="1"/>
      <c r="L157" s="1"/>
      <c r="M157" s="1"/>
      <c r="N157" s="1"/>
      <c r="O157" s="1"/>
      <c r="P157" s="1"/>
      <c r="Q157" s="1"/>
      <c r="R157" s="1"/>
      <c r="S157" s="1"/>
      <c r="T157" s="1"/>
      <c r="U157" s="1"/>
      <c r="V157" s="1"/>
      <c r="W157" s="1"/>
      <c r="X157" s="1"/>
      <c r="Y157" s="1"/>
      <c r="Z157" s="1"/>
      <c r="AA157" s="1"/>
      <c r="AB157" s="1"/>
      <c r="AC157" s="1"/>
      <c r="AD157" s="1"/>
      <c r="AE157" s="1"/>
      <c r="AQ157" s="1"/>
    </row>
    <row r="158" spans="10:43" x14ac:dyDescent="0.25">
      <c r="J158" s="1"/>
      <c r="K158" s="1"/>
      <c r="L158" s="1"/>
      <c r="M158" s="1"/>
      <c r="N158" s="1"/>
      <c r="O158" s="1"/>
      <c r="P158" s="1"/>
      <c r="Q158" s="1"/>
      <c r="R158" s="1"/>
      <c r="S158" s="1"/>
      <c r="T158" s="1"/>
      <c r="U158" s="1"/>
      <c r="V158" s="1"/>
      <c r="W158" s="1"/>
      <c r="X158" s="1"/>
      <c r="Y158" s="1"/>
      <c r="Z158" s="1"/>
      <c r="AA158" s="1"/>
      <c r="AB158" s="1"/>
      <c r="AC158" s="1"/>
      <c r="AD158" s="1"/>
      <c r="AE158" s="1"/>
      <c r="AQ158" s="1"/>
    </row>
    <row r="159" spans="10:43" x14ac:dyDescent="0.25">
      <c r="J159" s="1"/>
      <c r="K159" s="1"/>
      <c r="L159" s="1"/>
      <c r="M159" s="1"/>
      <c r="N159" s="1"/>
      <c r="O159" s="1"/>
      <c r="P159" s="1"/>
      <c r="Q159" s="1"/>
      <c r="R159" s="1"/>
      <c r="S159" s="1"/>
      <c r="T159" s="1"/>
      <c r="U159" s="1"/>
      <c r="V159" s="1"/>
      <c r="W159" s="1"/>
      <c r="X159" s="1"/>
      <c r="Y159" s="1"/>
      <c r="Z159" s="1"/>
      <c r="AA159" s="1"/>
      <c r="AB159" s="1"/>
      <c r="AC159" s="1"/>
      <c r="AD159" s="1"/>
      <c r="AE159" s="1"/>
      <c r="AQ159" s="1"/>
    </row>
    <row r="160" spans="10:43" x14ac:dyDescent="0.25">
      <c r="J160" s="1"/>
      <c r="K160" s="1"/>
      <c r="L160" s="1"/>
      <c r="M160" s="1"/>
      <c r="N160" s="1"/>
      <c r="O160" s="1"/>
      <c r="P160" s="1"/>
      <c r="Q160" s="1"/>
      <c r="R160" s="1"/>
      <c r="S160" s="1"/>
      <c r="T160" s="1"/>
      <c r="U160" s="1"/>
      <c r="V160" s="1"/>
      <c r="W160" s="1"/>
      <c r="X160" s="1"/>
      <c r="Y160" s="1"/>
      <c r="Z160" s="1"/>
      <c r="AA160" s="1"/>
      <c r="AB160" s="1"/>
      <c r="AC160" s="1"/>
      <c r="AD160" s="1"/>
      <c r="AE160" s="1"/>
      <c r="AQ160" s="1"/>
    </row>
    <row r="161" spans="10:43" x14ac:dyDescent="0.25">
      <c r="J161" s="1"/>
      <c r="K161" s="1"/>
      <c r="L161" s="1"/>
      <c r="M161" s="1"/>
      <c r="N161" s="1"/>
      <c r="O161" s="1"/>
      <c r="P161" s="1"/>
      <c r="Q161" s="1"/>
      <c r="R161" s="1"/>
      <c r="S161" s="1"/>
      <c r="T161" s="1"/>
      <c r="U161" s="1"/>
      <c r="V161" s="1"/>
      <c r="W161" s="1"/>
      <c r="X161" s="1"/>
      <c r="Y161" s="1"/>
      <c r="Z161" s="1"/>
      <c r="AA161" s="1"/>
      <c r="AB161" s="1"/>
      <c r="AC161" s="1"/>
      <c r="AD161" s="1"/>
      <c r="AE161" s="1"/>
      <c r="AQ161" s="1"/>
    </row>
    <row r="162" spans="10:43" x14ac:dyDescent="0.25">
      <c r="J162" s="1"/>
      <c r="K162" s="1"/>
      <c r="L162" s="1"/>
      <c r="M162" s="1"/>
      <c r="N162" s="1"/>
      <c r="O162" s="1"/>
      <c r="P162" s="1"/>
      <c r="Q162" s="1"/>
      <c r="R162" s="1"/>
      <c r="S162" s="1"/>
      <c r="T162" s="1"/>
      <c r="U162" s="1"/>
      <c r="V162" s="1"/>
      <c r="W162" s="1"/>
      <c r="X162" s="1"/>
      <c r="Y162" s="1"/>
      <c r="Z162" s="1"/>
      <c r="AA162" s="1"/>
      <c r="AB162" s="1"/>
      <c r="AC162" s="1"/>
      <c r="AD162" s="1"/>
      <c r="AE162" s="1"/>
      <c r="AQ162" s="1"/>
    </row>
    <row r="163" spans="10:43" x14ac:dyDescent="0.25">
      <c r="J163" s="1"/>
      <c r="K163" s="1"/>
      <c r="L163" s="1"/>
      <c r="M163" s="1"/>
      <c r="N163" s="1"/>
      <c r="O163" s="1"/>
      <c r="P163" s="1"/>
      <c r="Q163" s="1"/>
      <c r="R163" s="1"/>
      <c r="S163" s="1"/>
      <c r="T163" s="1"/>
      <c r="U163" s="1"/>
      <c r="V163" s="1"/>
      <c r="W163" s="1"/>
      <c r="X163" s="1"/>
      <c r="Y163" s="1"/>
      <c r="Z163" s="1"/>
      <c r="AA163" s="1"/>
      <c r="AB163" s="1"/>
      <c r="AC163" s="1"/>
      <c r="AD163" s="1"/>
      <c r="AE163" s="1"/>
      <c r="AQ163" s="1"/>
    </row>
    <row r="164" spans="10:43" x14ac:dyDescent="0.25">
      <c r="J164" s="1"/>
      <c r="K164" s="1"/>
      <c r="L164" s="1"/>
      <c r="M164" s="1"/>
      <c r="N164" s="1"/>
      <c r="O164" s="1"/>
      <c r="P164" s="1"/>
      <c r="Q164" s="1"/>
      <c r="R164" s="1"/>
      <c r="S164" s="1"/>
      <c r="T164" s="1"/>
      <c r="U164" s="1"/>
      <c r="V164" s="1"/>
      <c r="W164" s="1"/>
      <c r="X164" s="1"/>
      <c r="Y164" s="1"/>
      <c r="Z164" s="1"/>
      <c r="AA164" s="1"/>
      <c r="AB164" s="1"/>
      <c r="AC164" s="1"/>
      <c r="AD164" s="1"/>
      <c r="AE164" s="1"/>
      <c r="AQ164" s="1"/>
    </row>
    <row r="165" spans="10:43" x14ac:dyDescent="0.25">
      <c r="J165" s="1"/>
      <c r="K165" s="1"/>
      <c r="L165" s="1"/>
      <c r="M165" s="1"/>
      <c r="N165" s="1"/>
      <c r="O165" s="1"/>
      <c r="P165" s="1"/>
      <c r="Q165" s="1"/>
      <c r="R165" s="1"/>
      <c r="S165" s="1"/>
      <c r="T165" s="1"/>
      <c r="U165" s="1"/>
      <c r="V165" s="1"/>
      <c r="W165" s="1"/>
      <c r="X165" s="1"/>
      <c r="Y165" s="1"/>
      <c r="Z165" s="1"/>
      <c r="AA165" s="1"/>
      <c r="AB165" s="1"/>
      <c r="AC165" s="1"/>
      <c r="AD165" s="1"/>
      <c r="AE165" s="1"/>
      <c r="AQ165" s="1"/>
    </row>
    <row r="166" spans="10:43" x14ac:dyDescent="0.25">
      <c r="J166" s="1"/>
      <c r="K166" s="1"/>
      <c r="L166" s="1"/>
      <c r="M166" s="1"/>
      <c r="N166" s="1"/>
      <c r="O166" s="1"/>
      <c r="P166" s="1"/>
      <c r="Q166" s="1"/>
      <c r="R166" s="1"/>
      <c r="S166" s="1"/>
      <c r="T166" s="1"/>
      <c r="U166" s="1"/>
      <c r="V166" s="1"/>
      <c r="W166" s="1"/>
      <c r="X166" s="1"/>
      <c r="Y166" s="1"/>
      <c r="Z166" s="1"/>
      <c r="AA166" s="1"/>
      <c r="AB166" s="1"/>
      <c r="AC166" s="1"/>
      <c r="AD166" s="1"/>
      <c r="AE166" s="1"/>
      <c r="AQ166" s="1"/>
    </row>
    <row r="167" spans="10:43" x14ac:dyDescent="0.25">
      <c r="J167" s="1"/>
      <c r="K167" s="1"/>
      <c r="L167" s="1"/>
      <c r="M167" s="1"/>
      <c r="N167" s="1"/>
      <c r="O167" s="1"/>
      <c r="P167" s="1"/>
      <c r="Q167" s="1"/>
      <c r="R167" s="1"/>
      <c r="S167" s="1"/>
      <c r="T167" s="1"/>
      <c r="U167" s="1"/>
      <c r="V167" s="1"/>
      <c r="W167" s="1"/>
      <c r="X167" s="1"/>
      <c r="Y167" s="1"/>
      <c r="Z167" s="1"/>
      <c r="AA167" s="1"/>
      <c r="AB167" s="1"/>
      <c r="AC167" s="1"/>
      <c r="AD167" s="1"/>
      <c r="AE167" s="1"/>
      <c r="AQ167" s="1"/>
    </row>
    <row r="168" spans="10:43" x14ac:dyDescent="0.25">
      <c r="J168" s="1"/>
      <c r="K168" s="1"/>
      <c r="L168" s="1"/>
      <c r="M168" s="1"/>
      <c r="N168" s="1"/>
      <c r="O168" s="1"/>
      <c r="P168" s="1"/>
      <c r="Q168" s="1"/>
      <c r="R168" s="1"/>
      <c r="S168" s="1"/>
      <c r="T168" s="1"/>
      <c r="U168" s="1"/>
      <c r="V168" s="1"/>
      <c r="W168" s="1"/>
      <c r="X168" s="1"/>
      <c r="Y168" s="1"/>
      <c r="Z168" s="1"/>
      <c r="AA168" s="1"/>
      <c r="AB168" s="1"/>
      <c r="AC168" s="1"/>
      <c r="AD168" s="1"/>
      <c r="AE168" s="1"/>
      <c r="AQ168" s="1"/>
    </row>
    <row r="169" spans="10:43" x14ac:dyDescent="0.25">
      <c r="J169" s="1"/>
      <c r="K169" s="1"/>
      <c r="L169" s="1"/>
      <c r="M169" s="1"/>
      <c r="N169" s="1"/>
      <c r="O169" s="1"/>
      <c r="P169" s="1"/>
      <c r="Q169" s="1"/>
      <c r="R169" s="1"/>
      <c r="S169" s="1"/>
      <c r="T169" s="1"/>
      <c r="U169" s="1"/>
      <c r="V169" s="1"/>
      <c r="W169" s="1"/>
      <c r="X169" s="1"/>
      <c r="Y169" s="1"/>
      <c r="Z169" s="1"/>
      <c r="AA169" s="1"/>
      <c r="AB169" s="1"/>
      <c r="AC169" s="1"/>
      <c r="AD169" s="1"/>
      <c r="AE169" s="1"/>
      <c r="AQ169" s="1"/>
    </row>
    <row r="170" spans="10:43" x14ac:dyDescent="0.25">
      <c r="J170" s="1"/>
      <c r="K170" s="1"/>
      <c r="L170" s="1"/>
      <c r="M170" s="1"/>
      <c r="N170" s="1"/>
      <c r="O170" s="1"/>
      <c r="P170" s="1"/>
      <c r="Q170" s="1"/>
      <c r="R170" s="1"/>
      <c r="S170" s="1"/>
      <c r="T170" s="1"/>
      <c r="U170" s="1"/>
      <c r="V170" s="1"/>
      <c r="W170" s="1"/>
      <c r="X170" s="1"/>
      <c r="Y170" s="1"/>
      <c r="Z170" s="1"/>
      <c r="AA170" s="1"/>
      <c r="AB170" s="1"/>
      <c r="AC170" s="1"/>
      <c r="AD170" s="1"/>
      <c r="AE170" s="1"/>
      <c r="AQ170" s="1"/>
    </row>
    <row r="171" spans="10:43" x14ac:dyDescent="0.25">
      <c r="J171" s="1"/>
      <c r="K171" s="1"/>
      <c r="L171" s="1"/>
      <c r="M171" s="1"/>
      <c r="N171" s="1"/>
      <c r="O171" s="1"/>
      <c r="P171" s="1"/>
      <c r="Q171" s="1"/>
      <c r="R171" s="1"/>
      <c r="S171" s="1"/>
      <c r="T171" s="1"/>
      <c r="U171" s="1"/>
      <c r="V171" s="1"/>
      <c r="W171" s="1"/>
      <c r="X171" s="1"/>
      <c r="Y171" s="1"/>
      <c r="Z171" s="1"/>
      <c r="AA171" s="1"/>
      <c r="AB171" s="1"/>
      <c r="AC171" s="1"/>
      <c r="AD171" s="1"/>
      <c r="AE171" s="1"/>
      <c r="AQ171" s="1"/>
    </row>
    <row r="172" spans="10:43" x14ac:dyDescent="0.25">
      <c r="J172" s="1"/>
      <c r="K172" s="1"/>
      <c r="L172" s="1"/>
      <c r="M172" s="1"/>
      <c r="N172" s="1"/>
      <c r="O172" s="1"/>
      <c r="P172" s="1"/>
      <c r="Q172" s="1"/>
      <c r="R172" s="1"/>
      <c r="S172" s="1"/>
      <c r="T172" s="1"/>
      <c r="U172" s="1"/>
      <c r="V172" s="1"/>
      <c r="W172" s="1"/>
      <c r="X172" s="1"/>
      <c r="Y172" s="1"/>
      <c r="Z172" s="1"/>
      <c r="AA172" s="1"/>
      <c r="AB172" s="1"/>
      <c r="AC172" s="1"/>
      <c r="AD172" s="1"/>
      <c r="AE172" s="1"/>
      <c r="AQ172" s="1"/>
    </row>
    <row r="173" spans="10:43" x14ac:dyDescent="0.25">
      <c r="J173" s="1"/>
      <c r="K173" s="1"/>
      <c r="L173" s="1"/>
      <c r="M173" s="1"/>
      <c r="N173" s="1"/>
      <c r="O173" s="1"/>
      <c r="P173" s="1"/>
      <c r="Q173" s="1"/>
      <c r="R173" s="1"/>
      <c r="S173" s="1"/>
      <c r="T173" s="1"/>
      <c r="U173" s="1"/>
      <c r="V173" s="1"/>
      <c r="W173" s="1"/>
      <c r="X173" s="1"/>
      <c r="Y173" s="1"/>
      <c r="Z173" s="1"/>
      <c r="AA173" s="1"/>
      <c r="AB173" s="1"/>
      <c r="AC173" s="1"/>
      <c r="AD173" s="1"/>
      <c r="AE173" s="1"/>
      <c r="AQ173" s="1"/>
    </row>
    <row r="174" spans="10:43" x14ac:dyDescent="0.25">
      <c r="J174" s="1"/>
      <c r="K174" s="1"/>
      <c r="L174" s="1"/>
      <c r="M174" s="1"/>
      <c r="N174" s="1"/>
      <c r="O174" s="1"/>
      <c r="P174" s="1"/>
      <c r="Q174" s="1"/>
      <c r="R174" s="1"/>
      <c r="S174" s="1"/>
      <c r="T174" s="1"/>
      <c r="U174" s="1"/>
      <c r="V174" s="1"/>
      <c r="W174" s="1"/>
      <c r="X174" s="1"/>
      <c r="Y174" s="1"/>
      <c r="Z174" s="1"/>
      <c r="AA174" s="1"/>
      <c r="AB174" s="1"/>
      <c r="AC174" s="1"/>
      <c r="AD174" s="1"/>
      <c r="AE174" s="1"/>
      <c r="AQ174" s="1"/>
    </row>
    <row r="175" spans="10:43" x14ac:dyDescent="0.25">
      <c r="J175" s="1"/>
      <c r="K175" s="1"/>
      <c r="L175" s="1"/>
      <c r="M175" s="1"/>
      <c r="N175" s="1"/>
      <c r="O175" s="1"/>
      <c r="P175" s="1"/>
      <c r="Q175" s="1"/>
      <c r="R175" s="1"/>
      <c r="S175" s="1"/>
      <c r="T175" s="1"/>
      <c r="U175" s="1"/>
      <c r="V175" s="1"/>
      <c r="W175" s="1"/>
      <c r="X175" s="1"/>
      <c r="Y175" s="1"/>
      <c r="Z175" s="1"/>
      <c r="AA175" s="1"/>
      <c r="AB175" s="1"/>
      <c r="AC175" s="1"/>
      <c r="AD175" s="1"/>
      <c r="AE175" s="1"/>
      <c r="AQ175" s="1"/>
    </row>
    <row r="176" spans="10:43" x14ac:dyDescent="0.25">
      <c r="J176" s="1"/>
      <c r="K176" s="1"/>
      <c r="L176" s="1"/>
      <c r="M176" s="1"/>
      <c r="N176" s="1"/>
      <c r="O176" s="1"/>
      <c r="P176" s="1"/>
      <c r="Q176" s="1"/>
      <c r="R176" s="1"/>
      <c r="S176" s="1"/>
      <c r="T176" s="1"/>
      <c r="U176" s="1"/>
      <c r="V176" s="1"/>
      <c r="W176" s="1"/>
      <c r="X176" s="1"/>
      <c r="Y176" s="1"/>
      <c r="Z176" s="1"/>
      <c r="AA176" s="1"/>
      <c r="AB176" s="1"/>
      <c r="AC176" s="1"/>
      <c r="AD176" s="1"/>
      <c r="AE176" s="1"/>
      <c r="AQ176" s="1"/>
    </row>
    <row r="177" spans="10:43" x14ac:dyDescent="0.25">
      <c r="J177" s="1"/>
      <c r="K177" s="1"/>
      <c r="L177" s="1"/>
      <c r="M177" s="1"/>
      <c r="N177" s="1"/>
      <c r="O177" s="1"/>
      <c r="P177" s="1"/>
      <c r="Q177" s="1"/>
      <c r="R177" s="1"/>
      <c r="S177" s="1"/>
      <c r="T177" s="1"/>
      <c r="U177" s="1"/>
      <c r="V177" s="1"/>
      <c r="W177" s="1"/>
      <c r="X177" s="1"/>
      <c r="Y177" s="1"/>
      <c r="Z177" s="1"/>
      <c r="AA177" s="1"/>
      <c r="AB177" s="1"/>
      <c r="AC177" s="1"/>
      <c r="AD177" s="1"/>
      <c r="AE177" s="1"/>
      <c r="AQ177" s="1"/>
    </row>
    <row r="178" spans="10:43" x14ac:dyDescent="0.25">
      <c r="J178" s="1"/>
      <c r="K178" s="1"/>
      <c r="L178" s="1"/>
      <c r="M178" s="1"/>
      <c r="N178" s="1"/>
      <c r="O178" s="1"/>
      <c r="P178" s="1"/>
      <c r="Q178" s="1"/>
      <c r="R178" s="1"/>
      <c r="S178" s="1"/>
      <c r="T178" s="1"/>
      <c r="U178" s="1"/>
      <c r="V178" s="1"/>
      <c r="W178" s="1"/>
      <c r="X178" s="1"/>
      <c r="Y178" s="1"/>
      <c r="Z178" s="1"/>
      <c r="AA178" s="1"/>
      <c r="AB178" s="1"/>
      <c r="AC178" s="1"/>
      <c r="AD178" s="1"/>
      <c r="AE178" s="1"/>
      <c r="AQ178" s="1"/>
    </row>
    <row r="179" spans="10:43" x14ac:dyDescent="0.25">
      <c r="J179" s="1"/>
      <c r="K179" s="1"/>
      <c r="L179" s="1"/>
      <c r="M179" s="1"/>
      <c r="N179" s="1"/>
      <c r="O179" s="1"/>
      <c r="P179" s="1"/>
      <c r="Q179" s="1"/>
      <c r="R179" s="1"/>
      <c r="S179" s="1"/>
      <c r="T179" s="1"/>
      <c r="U179" s="1"/>
      <c r="V179" s="1"/>
      <c r="W179" s="1"/>
      <c r="X179" s="1"/>
      <c r="Y179" s="1"/>
      <c r="Z179" s="1"/>
      <c r="AA179" s="1"/>
      <c r="AB179" s="1"/>
      <c r="AC179" s="1"/>
      <c r="AD179" s="1"/>
      <c r="AE179" s="1"/>
      <c r="AQ179" s="1"/>
    </row>
    <row r="180" spans="10:43" x14ac:dyDescent="0.25">
      <c r="J180" s="1"/>
      <c r="K180" s="1"/>
      <c r="L180" s="1"/>
      <c r="M180" s="1"/>
      <c r="N180" s="1"/>
      <c r="O180" s="1"/>
      <c r="P180" s="1"/>
      <c r="Q180" s="1"/>
      <c r="R180" s="1"/>
      <c r="S180" s="1"/>
      <c r="T180" s="1"/>
      <c r="U180" s="1"/>
      <c r="V180" s="1"/>
      <c r="W180" s="1"/>
      <c r="X180" s="1"/>
      <c r="Y180" s="1"/>
      <c r="Z180" s="1"/>
      <c r="AA180" s="1"/>
      <c r="AB180" s="1"/>
      <c r="AC180" s="1"/>
      <c r="AD180" s="1"/>
      <c r="AE180" s="1"/>
      <c r="AQ180" s="1"/>
    </row>
    <row r="181" spans="10:43" x14ac:dyDescent="0.25">
      <c r="J181" s="1"/>
      <c r="K181" s="1"/>
      <c r="L181" s="1"/>
      <c r="M181" s="1"/>
      <c r="N181" s="1"/>
      <c r="O181" s="1"/>
      <c r="P181" s="1"/>
      <c r="Q181" s="1"/>
      <c r="R181" s="1"/>
      <c r="S181" s="1"/>
      <c r="T181" s="1"/>
      <c r="U181" s="1"/>
      <c r="V181" s="1"/>
      <c r="W181" s="1"/>
      <c r="X181" s="1"/>
      <c r="Y181" s="1"/>
      <c r="Z181" s="1"/>
      <c r="AA181" s="1"/>
      <c r="AB181" s="1"/>
      <c r="AC181" s="1"/>
      <c r="AD181" s="1"/>
      <c r="AE181" s="1"/>
      <c r="AQ181" s="1"/>
    </row>
    <row r="182" spans="10:43" x14ac:dyDescent="0.25">
      <c r="J182" s="1"/>
      <c r="K182" s="1"/>
      <c r="L182" s="1"/>
      <c r="M182" s="1"/>
      <c r="N182" s="1"/>
      <c r="O182" s="1"/>
      <c r="P182" s="1"/>
      <c r="Q182" s="1"/>
      <c r="R182" s="1"/>
      <c r="S182" s="1"/>
      <c r="T182" s="1"/>
      <c r="U182" s="1"/>
      <c r="V182" s="1"/>
      <c r="W182" s="1"/>
      <c r="X182" s="1"/>
      <c r="Y182" s="1"/>
      <c r="Z182" s="1"/>
      <c r="AA182" s="1"/>
      <c r="AB182" s="1"/>
      <c r="AC182" s="1"/>
      <c r="AD182" s="1"/>
      <c r="AE182" s="1"/>
      <c r="AQ182" s="1"/>
    </row>
    <row r="183" spans="10:43" x14ac:dyDescent="0.25">
      <c r="J183" s="1"/>
      <c r="K183" s="1"/>
      <c r="L183" s="1"/>
      <c r="M183" s="1"/>
      <c r="N183" s="1"/>
      <c r="O183" s="1"/>
      <c r="P183" s="1"/>
      <c r="Q183" s="1"/>
      <c r="R183" s="1"/>
      <c r="S183" s="1"/>
      <c r="T183" s="1"/>
      <c r="U183" s="1"/>
      <c r="V183" s="1"/>
      <c r="W183" s="1"/>
      <c r="X183" s="1"/>
      <c r="Y183" s="1"/>
      <c r="Z183" s="1"/>
      <c r="AA183" s="1"/>
      <c r="AB183" s="1"/>
      <c r="AC183" s="1"/>
      <c r="AD183" s="1"/>
      <c r="AE183" s="1"/>
      <c r="AQ183" s="1"/>
    </row>
    <row r="184" spans="10:43" x14ac:dyDescent="0.25">
      <c r="J184" s="1"/>
      <c r="K184" s="1"/>
      <c r="L184" s="1"/>
      <c r="M184" s="1"/>
      <c r="N184" s="1"/>
      <c r="O184" s="1"/>
      <c r="P184" s="1"/>
      <c r="Q184" s="1"/>
      <c r="R184" s="1"/>
      <c r="S184" s="1"/>
      <c r="T184" s="1"/>
      <c r="U184" s="1"/>
      <c r="V184" s="1"/>
      <c r="W184" s="1"/>
      <c r="X184" s="1"/>
      <c r="Y184" s="1"/>
      <c r="Z184" s="1"/>
      <c r="AA184" s="1"/>
      <c r="AB184" s="1"/>
      <c r="AC184" s="1"/>
      <c r="AD184" s="1"/>
      <c r="AE184" s="1"/>
      <c r="AQ184" s="1"/>
    </row>
    <row r="185" spans="10:43" x14ac:dyDescent="0.25">
      <c r="J185" s="1"/>
      <c r="K185" s="1"/>
      <c r="L185" s="1"/>
      <c r="M185" s="1"/>
      <c r="N185" s="1"/>
      <c r="O185" s="1"/>
      <c r="P185" s="1"/>
      <c r="Q185" s="1"/>
      <c r="R185" s="1"/>
      <c r="S185" s="1"/>
      <c r="T185" s="1"/>
      <c r="U185" s="1"/>
      <c r="V185" s="1"/>
      <c r="W185" s="1"/>
      <c r="X185" s="1"/>
      <c r="Y185" s="1"/>
      <c r="Z185" s="1"/>
      <c r="AA185" s="1"/>
      <c r="AB185" s="1"/>
      <c r="AC185" s="1"/>
      <c r="AD185" s="1"/>
      <c r="AE185" s="1"/>
      <c r="AQ185" s="1"/>
    </row>
    <row r="186" spans="10:43" x14ac:dyDescent="0.25">
      <c r="J186" s="1"/>
      <c r="K186" s="1"/>
      <c r="L186" s="1"/>
      <c r="M186" s="1"/>
      <c r="N186" s="1"/>
      <c r="O186" s="1"/>
      <c r="P186" s="1"/>
      <c r="Q186" s="1"/>
      <c r="R186" s="1"/>
      <c r="S186" s="1"/>
      <c r="T186" s="1"/>
      <c r="U186" s="1"/>
      <c r="V186" s="1"/>
      <c r="W186" s="1"/>
      <c r="X186" s="1"/>
      <c r="Y186" s="1"/>
      <c r="Z186" s="1"/>
      <c r="AA186" s="1"/>
      <c r="AB186" s="1"/>
      <c r="AC186" s="1"/>
      <c r="AD186" s="1"/>
      <c r="AE186" s="1"/>
      <c r="AQ186" s="1"/>
    </row>
    <row r="187" spans="10:43" x14ac:dyDescent="0.25">
      <c r="J187" s="1"/>
      <c r="K187" s="1"/>
      <c r="L187" s="1"/>
      <c r="M187" s="1"/>
      <c r="N187" s="1"/>
      <c r="O187" s="1"/>
      <c r="P187" s="1"/>
      <c r="Q187" s="1"/>
      <c r="R187" s="1"/>
      <c r="S187" s="1"/>
      <c r="T187" s="1"/>
      <c r="U187" s="1"/>
      <c r="V187" s="1"/>
      <c r="W187" s="1"/>
      <c r="X187" s="1"/>
      <c r="Y187" s="1"/>
      <c r="Z187" s="1"/>
      <c r="AA187" s="1"/>
      <c r="AB187" s="1"/>
      <c r="AC187" s="1"/>
      <c r="AD187" s="1"/>
      <c r="AE187" s="1"/>
      <c r="AQ187" s="1"/>
    </row>
    <row r="188" spans="10:43" x14ac:dyDescent="0.25">
      <c r="J188" s="1"/>
      <c r="K188" s="1"/>
      <c r="L188" s="1"/>
      <c r="M188" s="1"/>
      <c r="N188" s="1"/>
      <c r="O188" s="1"/>
      <c r="P188" s="1"/>
      <c r="Q188" s="1"/>
      <c r="R188" s="1"/>
      <c r="S188" s="1"/>
      <c r="T188" s="1"/>
      <c r="U188" s="1"/>
      <c r="V188" s="1"/>
      <c r="W188" s="1"/>
      <c r="X188" s="1"/>
      <c r="Y188" s="1"/>
      <c r="Z188" s="1"/>
      <c r="AA188" s="1"/>
      <c r="AB188" s="1"/>
      <c r="AC188" s="1"/>
      <c r="AD188" s="1"/>
      <c r="AE188" s="1"/>
      <c r="AQ188" s="1"/>
    </row>
    <row r="189" spans="10:43" x14ac:dyDescent="0.25">
      <c r="J189" s="1"/>
      <c r="K189" s="1"/>
      <c r="L189" s="1"/>
      <c r="M189" s="1"/>
      <c r="N189" s="1"/>
      <c r="O189" s="1"/>
      <c r="P189" s="1"/>
      <c r="Q189" s="1"/>
      <c r="R189" s="1"/>
      <c r="S189" s="1"/>
      <c r="T189" s="1"/>
      <c r="U189" s="1"/>
      <c r="V189" s="1"/>
      <c r="W189" s="1"/>
      <c r="X189" s="1"/>
      <c r="Y189" s="1"/>
      <c r="Z189" s="1"/>
      <c r="AA189" s="1"/>
      <c r="AB189" s="1"/>
      <c r="AC189" s="1"/>
      <c r="AD189" s="1"/>
      <c r="AE189" s="1"/>
      <c r="AQ189" s="1"/>
    </row>
    <row r="190" spans="10:43" x14ac:dyDescent="0.25">
      <c r="J190" s="1"/>
      <c r="K190" s="1"/>
      <c r="L190" s="1"/>
      <c r="M190" s="1"/>
      <c r="N190" s="1"/>
      <c r="O190" s="1"/>
      <c r="P190" s="1"/>
      <c r="Q190" s="1"/>
      <c r="R190" s="1"/>
      <c r="S190" s="1"/>
      <c r="T190" s="1"/>
      <c r="U190" s="1"/>
      <c r="V190" s="1"/>
      <c r="W190" s="1"/>
      <c r="X190" s="1"/>
      <c r="Y190" s="1"/>
      <c r="Z190" s="1"/>
      <c r="AA190" s="1"/>
      <c r="AB190" s="1"/>
      <c r="AC190" s="1"/>
      <c r="AD190" s="1"/>
      <c r="AE190" s="1"/>
      <c r="AQ190" s="1"/>
    </row>
    <row r="191" spans="10:43" x14ac:dyDescent="0.25">
      <c r="J191" s="1"/>
      <c r="K191" s="1"/>
      <c r="L191" s="1"/>
      <c r="M191" s="1"/>
      <c r="N191" s="1"/>
      <c r="O191" s="1"/>
      <c r="P191" s="1"/>
      <c r="Q191" s="1"/>
      <c r="R191" s="1"/>
      <c r="S191" s="1"/>
      <c r="T191" s="1"/>
      <c r="U191" s="1"/>
      <c r="V191" s="1"/>
      <c r="W191" s="1"/>
      <c r="X191" s="1"/>
      <c r="Y191" s="1"/>
      <c r="Z191" s="1"/>
      <c r="AA191" s="1"/>
      <c r="AB191" s="1"/>
      <c r="AC191" s="1"/>
      <c r="AD191" s="1"/>
      <c r="AE191" s="1"/>
      <c r="AQ191" s="1"/>
    </row>
    <row r="192" spans="10:43" x14ac:dyDescent="0.25">
      <c r="J192" s="1"/>
      <c r="K192" s="1"/>
      <c r="L192" s="1"/>
      <c r="M192" s="1"/>
      <c r="N192" s="1"/>
      <c r="O192" s="1"/>
      <c r="P192" s="1"/>
      <c r="Q192" s="1"/>
      <c r="R192" s="1"/>
      <c r="S192" s="1"/>
      <c r="T192" s="1"/>
      <c r="U192" s="1"/>
      <c r="V192" s="1"/>
      <c r="W192" s="1"/>
      <c r="X192" s="1"/>
      <c r="Y192" s="1"/>
      <c r="Z192" s="1"/>
      <c r="AA192" s="1"/>
      <c r="AB192" s="1"/>
      <c r="AC192" s="1"/>
      <c r="AD192" s="1"/>
      <c r="AE192" s="1"/>
      <c r="AQ192" s="1"/>
    </row>
    <row r="193" spans="10:43" x14ac:dyDescent="0.25">
      <c r="J193" s="1"/>
      <c r="K193" s="1"/>
      <c r="L193" s="1"/>
      <c r="M193" s="1"/>
      <c r="N193" s="1"/>
      <c r="O193" s="1"/>
      <c r="P193" s="1"/>
      <c r="Q193" s="1"/>
      <c r="R193" s="1"/>
      <c r="S193" s="1"/>
      <c r="T193" s="1"/>
      <c r="U193" s="1"/>
      <c r="V193" s="1"/>
      <c r="W193" s="1"/>
      <c r="X193" s="1"/>
      <c r="Y193" s="1"/>
      <c r="Z193" s="1"/>
      <c r="AA193" s="1"/>
      <c r="AB193" s="1"/>
      <c r="AC193" s="1"/>
      <c r="AD193" s="1"/>
      <c r="AE193" s="1"/>
      <c r="AQ193" s="1"/>
    </row>
    <row r="194" spans="10:43" x14ac:dyDescent="0.25">
      <c r="J194" s="1"/>
      <c r="K194" s="1"/>
      <c r="L194" s="1"/>
      <c r="M194" s="1"/>
      <c r="N194" s="1"/>
      <c r="O194" s="1"/>
      <c r="P194" s="1"/>
      <c r="Q194" s="1"/>
      <c r="R194" s="1"/>
      <c r="S194" s="1"/>
      <c r="T194" s="1"/>
      <c r="U194" s="1"/>
      <c r="V194" s="1"/>
      <c r="W194" s="1"/>
      <c r="X194" s="1"/>
      <c r="Y194" s="1"/>
      <c r="Z194" s="1"/>
      <c r="AA194" s="1"/>
      <c r="AB194" s="1"/>
      <c r="AC194" s="1"/>
      <c r="AD194" s="1"/>
      <c r="AE194" s="1"/>
      <c r="AQ194" s="1"/>
    </row>
    <row r="195" spans="10:43" x14ac:dyDescent="0.25">
      <c r="J195" s="1"/>
      <c r="K195" s="1"/>
      <c r="L195" s="1"/>
      <c r="M195" s="1"/>
      <c r="N195" s="1"/>
      <c r="O195" s="1"/>
      <c r="P195" s="1"/>
      <c r="Q195" s="1"/>
      <c r="R195" s="1"/>
      <c r="S195" s="1"/>
      <c r="T195" s="1"/>
      <c r="U195" s="1"/>
      <c r="V195" s="1"/>
      <c r="W195" s="1"/>
      <c r="X195" s="1"/>
      <c r="Y195" s="1"/>
      <c r="Z195" s="1"/>
      <c r="AA195" s="1"/>
      <c r="AB195" s="1"/>
      <c r="AC195" s="1"/>
      <c r="AD195" s="1"/>
      <c r="AE195" s="1"/>
      <c r="AQ195" s="1"/>
    </row>
    <row r="196" spans="10:43" x14ac:dyDescent="0.25">
      <c r="J196" s="1"/>
      <c r="K196" s="1"/>
      <c r="L196" s="1"/>
      <c r="M196" s="1"/>
      <c r="N196" s="1"/>
      <c r="O196" s="1"/>
      <c r="P196" s="1"/>
      <c r="Q196" s="1"/>
      <c r="R196" s="1"/>
      <c r="S196" s="1"/>
      <c r="T196" s="1"/>
      <c r="U196" s="1"/>
      <c r="V196" s="1"/>
      <c r="W196" s="1"/>
      <c r="X196" s="1"/>
      <c r="Y196" s="1"/>
      <c r="Z196" s="1"/>
      <c r="AA196" s="1"/>
      <c r="AB196" s="1"/>
      <c r="AC196" s="1"/>
      <c r="AD196" s="1"/>
      <c r="AE196" s="1"/>
      <c r="AQ196" s="1"/>
    </row>
    <row r="197" spans="10:43" x14ac:dyDescent="0.25">
      <c r="J197" s="1"/>
      <c r="K197" s="1"/>
      <c r="L197" s="1"/>
      <c r="M197" s="1"/>
      <c r="N197" s="1"/>
      <c r="O197" s="1"/>
      <c r="P197" s="1"/>
      <c r="Q197" s="1"/>
      <c r="R197" s="1"/>
      <c r="S197" s="1"/>
      <c r="T197" s="1"/>
      <c r="U197" s="1"/>
      <c r="V197" s="1"/>
      <c r="W197" s="1"/>
      <c r="X197" s="1"/>
      <c r="Y197" s="1"/>
      <c r="Z197" s="1"/>
      <c r="AA197" s="1"/>
      <c r="AB197" s="1"/>
      <c r="AC197" s="1"/>
      <c r="AD197" s="1"/>
      <c r="AE197" s="1"/>
      <c r="AQ197" s="1"/>
    </row>
    <row r="198" spans="10:43" x14ac:dyDescent="0.25">
      <c r="J198" s="1"/>
      <c r="K198" s="1"/>
      <c r="L198" s="1"/>
      <c r="M198" s="1"/>
      <c r="N198" s="1"/>
      <c r="O198" s="1"/>
      <c r="P198" s="1"/>
      <c r="Q198" s="1"/>
      <c r="R198" s="1"/>
      <c r="S198" s="1"/>
      <c r="T198" s="1"/>
      <c r="U198" s="1"/>
      <c r="V198" s="1"/>
      <c r="W198" s="1"/>
      <c r="X198" s="1"/>
      <c r="Y198" s="1"/>
      <c r="Z198" s="1"/>
      <c r="AA198" s="1"/>
      <c r="AB198" s="1"/>
      <c r="AC198" s="1"/>
      <c r="AD198" s="1"/>
      <c r="AE198" s="1"/>
      <c r="AQ198" s="1"/>
    </row>
    <row r="199" spans="10:43" x14ac:dyDescent="0.25">
      <c r="J199" s="1"/>
      <c r="K199" s="1"/>
      <c r="L199" s="1"/>
      <c r="M199" s="1"/>
      <c r="N199" s="1"/>
      <c r="O199" s="1"/>
      <c r="P199" s="1"/>
      <c r="Q199" s="1"/>
      <c r="R199" s="1"/>
      <c r="S199" s="1"/>
      <c r="T199" s="1"/>
      <c r="U199" s="1"/>
      <c r="V199" s="1"/>
      <c r="W199" s="1"/>
      <c r="X199" s="1"/>
      <c r="Y199" s="1"/>
      <c r="Z199" s="1"/>
      <c r="AA199" s="1"/>
      <c r="AB199" s="1"/>
      <c r="AC199" s="1"/>
      <c r="AD199" s="1"/>
      <c r="AE199" s="1"/>
      <c r="AQ199" s="1"/>
    </row>
    <row r="200" spans="10:43" x14ac:dyDescent="0.25">
      <c r="J200" s="1"/>
      <c r="K200" s="1"/>
      <c r="L200" s="1"/>
      <c r="M200" s="1"/>
      <c r="N200" s="1"/>
      <c r="O200" s="1"/>
      <c r="P200" s="1"/>
      <c r="Q200" s="1"/>
      <c r="R200" s="1"/>
      <c r="S200" s="1"/>
      <c r="T200" s="1"/>
      <c r="U200" s="1"/>
      <c r="V200" s="1"/>
      <c r="W200" s="1"/>
      <c r="X200" s="1"/>
      <c r="Y200" s="1"/>
      <c r="Z200" s="1"/>
      <c r="AA200" s="1"/>
      <c r="AB200" s="1"/>
      <c r="AC200" s="1"/>
      <c r="AD200" s="1"/>
      <c r="AE200" s="1"/>
      <c r="AQ200" s="1"/>
    </row>
    <row r="201" spans="10:43" x14ac:dyDescent="0.25">
      <c r="J201" s="1"/>
      <c r="K201" s="1"/>
      <c r="L201" s="1"/>
      <c r="M201" s="1"/>
      <c r="N201" s="1"/>
      <c r="O201" s="1"/>
      <c r="P201" s="1"/>
      <c r="Q201" s="1"/>
      <c r="R201" s="1"/>
      <c r="S201" s="1"/>
      <c r="T201" s="1"/>
      <c r="U201" s="1"/>
      <c r="V201" s="1"/>
      <c r="W201" s="1"/>
      <c r="X201" s="1"/>
      <c r="Y201" s="1"/>
      <c r="Z201" s="1"/>
      <c r="AA201" s="1"/>
      <c r="AB201" s="1"/>
      <c r="AC201" s="1"/>
      <c r="AD201" s="1"/>
      <c r="AE201" s="1"/>
      <c r="AQ201" s="1"/>
    </row>
    <row r="202" spans="10:43" x14ac:dyDescent="0.25">
      <c r="J202" s="1"/>
      <c r="K202" s="1"/>
      <c r="L202" s="1"/>
      <c r="M202" s="1"/>
      <c r="N202" s="1"/>
      <c r="O202" s="1"/>
      <c r="P202" s="1"/>
      <c r="Q202" s="1"/>
      <c r="R202" s="1"/>
      <c r="S202" s="1"/>
      <c r="T202" s="1"/>
      <c r="U202" s="1"/>
      <c r="V202" s="1"/>
      <c r="W202" s="1"/>
      <c r="X202" s="1"/>
      <c r="Y202" s="1"/>
      <c r="Z202" s="1"/>
      <c r="AA202" s="1"/>
      <c r="AB202" s="1"/>
      <c r="AC202" s="1"/>
      <c r="AD202" s="1"/>
      <c r="AE202" s="1"/>
      <c r="AQ202" s="1"/>
    </row>
    <row r="203" spans="10:43" x14ac:dyDescent="0.25">
      <c r="J203" s="1"/>
      <c r="K203" s="1"/>
      <c r="L203" s="1"/>
      <c r="M203" s="1"/>
      <c r="N203" s="1"/>
      <c r="O203" s="1"/>
      <c r="P203" s="1"/>
      <c r="Q203" s="1"/>
      <c r="R203" s="1"/>
      <c r="S203" s="1"/>
      <c r="T203" s="1"/>
      <c r="U203" s="1"/>
      <c r="V203" s="1"/>
      <c r="W203" s="1"/>
      <c r="X203" s="1"/>
      <c r="Y203" s="1"/>
      <c r="Z203" s="1"/>
      <c r="AA203" s="1"/>
      <c r="AB203" s="1"/>
      <c r="AC203" s="1"/>
      <c r="AD203" s="1"/>
      <c r="AE203" s="1"/>
      <c r="AQ203" s="1"/>
    </row>
    <row r="204" spans="10:43" x14ac:dyDescent="0.25">
      <c r="J204" s="1"/>
      <c r="K204" s="1"/>
      <c r="L204" s="1"/>
      <c r="M204" s="1"/>
      <c r="N204" s="1"/>
      <c r="O204" s="1"/>
      <c r="P204" s="1"/>
      <c r="Q204" s="1"/>
      <c r="R204" s="1"/>
      <c r="S204" s="1"/>
      <c r="T204" s="1"/>
      <c r="U204" s="1"/>
      <c r="V204" s="1"/>
      <c r="W204" s="1"/>
      <c r="X204" s="1"/>
      <c r="Y204" s="1"/>
      <c r="Z204" s="1"/>
      <c r="AA204" s="1"/>
      <c r="AB204" s="1"/>
      <c r="AC204" s="1"/>
      <c r="AD204" s="1"/>
      <c r="AE204" s="1"/>
      <c r="AQ204" s="1"/>
    </row>
    <row r="205" spans="10:43" x14ac:dyDescent="0.25">
      <c r="J205" s="1"/>
      <c r="K205" s="1"/>
      <c r="L205" s="1"/>
      <c r="M205" s="1"/>
      <c r="N205" s="1"/>
      <c r="O205" s="1"/>
      <c r="P205" s="1"/>
      <c r="Q205" s="1"/>
      <c r="R205" s="1"/>
      <c r="S205" s="1"/>
      <c r="T205" s="1"/>
      <c r="U205" s="1"/>
      <c r="V205" s="1"/>
      <c r="W205" s="1"/>
      <c r="X205" s="1"/>
      <c r="Y205" s="1"/>
      <c r="Z205" s="1"/>
      <c r="AA205" s="1"/>
      <c r="AB205" s="1"/>
      <c r="AC205" s="1"/>
      <c r="AD205" s="1"/>
      <c r="AE205" s="1"/>
      <c r="AQ205" s="1"/>
    </row>
    <row r="206" spans="10:43" x14ac:dyDescent="0.25">
      <c r="J206" s="1"/>
      <c r="K206" s="1"/>
      <c r="L206" s="1"/>
      <c r="M206" s="1"/>
      <c r="N206" s="1"/>
      <c r="O206" s="1"/>
      <c r="P206" s="1"/>
      <c r="Q206" s="1"/>
      <c r="R206" s="1"/>
      <c r="S206" s="1"/>
      <c r="T206" s="1"/>
      <c r="U206" s="1"/>
      <c r="V206" s="1"/>
      <c r="W206" s="1"/>
      <c r="X206" s="1"/>
      <c r="Y206" s="1"/>
      <c r="Z206" s="1"/>
      <c r="AA206" s="1"/>
      <c r="AB206" s="1"/>
      <c r="AC206" s="1"/>
      <c r="AD206" s="1"/>
      <c r="AE206" s="1"/>
      <c r="AQ206" s="1"/>
    </row>
    <row r="207" spans="10:43" x14ac:dyDescent="0.25">
      <c r="J207" s="1"/>
      <c r="K207" s="1"/>
      <c r="L207" s="1"/>
      <c r="M207" s="1"/>
      <c r="N207" s="1"/>
      <c r="O207" s="1"/>
      <c r="P207" s="1"/>
      <c r="Q207" s="1"/>
      <c r="R207" s="1"/>
      <c r="S207" s="1"/>
      <c r="T207" s="1"/>
      <c r="U207" s="1"/>
      <c r="V207" s="1"/>
      <c r="W207" s="1"/>
      <c r="X207" s="1"/>
      <c r="Y207" s="1"/>
      <c r="Z207" s="1"/>
      <c r="AA207" s="1"/>
      <c r="AB207" s="1"/>
      <c r="AC207" s="1"/>
      <c r="AD207" s="1"/>
      <c r="AE207" s="1"/>
      <c r="AQ207" s="1"/>
    </row>
    <row r="208" spans="10:43" x14ac:dyDescent="0.25">
      <c r="J208" s="1"/>
      <c r="K208" s="1"/>
      <c r="L208" s="1"/>
      <c r="M208" s="1"/>
      <c r="N208" s="1"/>
      <c r="O208" s="1"/>
      <c r="P208" s="1"/>
      <c r="Q208" s="1"/>
      <c r="R208" s="1"/>
      <c r="S208" s="1"/>
      <c r="T208" s="1"/>
      <c r="U208" s="1"/>
      <c r="V208" s="1"/>
      <c r="W208" s="1"/>
      <c r="X208" s="1"/>
      <c r="Y208" s="1"/>
      <c r="Z208" s="1"/>
      <c r="AA208" s="1"/>
      <c r="AB208" s="1"/>
      <c r="AC208" s="1"/>
      <c r="AD208" s="1"/>
      <c r="AE208" s="1"/>
      <c r="AQ208" s="1"/>
    </row>
    <row r="209" spans="10:43" x14ac:dyDescent="0.25">
      <c r="J209" s="1"/>
      <c r="K209" s="1"/>
      <c r="L209" s="1"/>
      <c r="M209" s="1"/>
      <c r="N209" s="1"/>
      <c r="O209" s="1"/>
      <c r="P209" s="1"/>
      <c r="Q209" s="1"/>
      <c r="R209" s="1"/>
      <c r="S209" s="1"/>
      <c r="T209" s="1"/>
      <c r="U209" s="1"/>
      <c r="V209" s="1"/>
      <c r="W209" s="1"/>
      <c r="X209" s="1"/>
      <c r="Y209" s="1"/>
      <c r="Z209" s="1"/>
      <c r="AA209" s="1"/>
      <c r="AB209" s="1"/>
      <c r="AC209" s="1"/>
      <c r="AD209" s="1"/>
      <c r="AE209" s="1"/>
      <c r="AQ209" s="1"/>
    </row>
    <row r="210" spans="10:43" x14ac:dyDescent="0.25">
      <c r="J210" s="1"/>
      <c r="K210" s="1"/>
      <c r="L210" s="1"/>
      <c r="M210" s="1"/>
      <c r="N210" s="1"/>
      <c r="O210" s="1"/>
      <c r="P210" s="1"/>
      <c r="Q210" s="1"/>
      <c r="R210" s="1"/>
      <c r="S210" s="1"/>
      <c r="T210" s="1"/>
      <c r="U210" s="1"/>
      <c r="V210" s="1"/>
      <c r="W210" s="1"/>
      <c r="X210" s="1"/>
      <c r="Y210" s="1"/>
      <c r="Z210" s="1"/>
      <c r="AA210" s="1"/>
      <c r="AB210" s="1"/>
      <c r="AC210" s="1"/>
      <c r="AD210" s="1"/>
      <c r="AE210" s="1"/>
      <c r="AQ210" s="1"/>
    </row>
    <row r="211" spans="10:43" x14ac:dyDescent="0.25">
      <c r="J211" s="1"/>
      <c r="K211" s="1"/>
      <c r="L211" s="1"/>
      <c r="M211" s="1"/>
      <c r="N211" s="1"/>
      <c r="O211" s="1"/>
      <c r="P211" s="1"/>
      <c r="Q211" s="1"/>
      <c r="R211" s="1"/>
      <c r="S211" s="1"/>
      <c r="T211" s="1"/>
      <c r="U211" s="1"/>
      <c r="V211" s="1"/>
      <c r="W211" s="1"/>
      <c r="X211" s="1"/>
      <c r="Y211" s="1"/>
      <c r="Z211" s="1"/>
      <c r="AA211" s="1"/>
      <c r="AB211" s="1"/>
      <c r="AC211" s="1"/>
      <c r="AD211" s="1"/>
      <c r="AE211" s="1"/>
      <c r="AQ211" s="1"/>
    </row>
    <row r="212" spans="10:43" x14ac:dyDescent="0.25">
      <c r="J212" s="1"/>
      <c r="K212" s="1"/>
      <c r="L212" s="1"/>
      <c r="M212" s="1"/>
      <c r="N212" s="1"/>
      <c r="O212" s="1"/>
      <c r="P212" s="1"/>
      <c r="Q212" s="1"/>
      <c r="R212" s="1"/>
      <c r="S212" s="1"/>
      <c r="T212" s="1"/>
      <c r="U212" s="1"/>
      <c r="V212" s="1"/>
      <c r="W212" s="1"/>
      <c r="X212" s="1"/>
      <c r="Y212" s="1"/>
      <c r="Z212" s="1"/>
      <c r="AA212" s="1"/>
      <c r="AB212" s="1"/>
      <c r="AC212" s="1"/>
      <c r="AD212" s="1"/>
      <c r="AE212" s="1"/>
      <c r="AQ212" s="1"/>
    </row>
    <row r="213" spans="10:43" x14ac:dyDescent="0.25">
      <c r="J213" s="1"/>
      <c r="K213" s="1"/>
      <c r="L213" s="1"/>
      <c r="M213" s="1"/>
      <c r="N213" s="1"/>
      <c r="O213" s="1"/>
      <c r="P213" s="1"/>
      <c r="Q213" s="1"/>
      <c r="R213" s="1"/>
      <c r="S213" s="1"/>
      <c r="T213" s="1"/>
      <c r="U213" s="1"/>
      <c r="V213" s="1"/>
      <c r="W213" s="1"/>
      <c r="X213" s="1"/>
      <c r="Y213" s="1"/>
      <c r="Z213" s="1"/>
      <c r="AA213" s="1"/>
      <c r="AB213" s="1"/>
      <c r="AC213" s="1"/>
      <c r="AD213" s="1"/>
      <c r="AE213" s="1"/>
      <c r="AQ213" s="1"/>
    </row>
    <row r="214" spans="10:43" x14ac:dyDescent="0.25">
      <c r="J214" s="1"/>
      <c r="K214" s="1"/>
      <c r="L214" s="1"/>
      <c r="M214" s="1"/>
      <c r="N214" s="1"/>
      <c r="O214" s="1"/>
      <c r="P214" s="1"/>
      <c r="Q214" s="1"/>
      <c r="R214" s="1"/>
      <c r="S214" s="1"/>
      <c r="T214" s="1"/>
      <c r="U214" s="1"/>
      <c r="V214" s="1"/>
      <c r="W214" s="1"/>
      <c r="X214" s="1"/>
      <c r="Y214" s="1"/>
      <c r="Z214" s="1"/>
      <c r="AA214" s="1"/>
      <c r="AB214" s="1"/>
      <c r="AC214" s="1"/>
      <c r="AD214" s="1"/>
      <c r="AE214" s="1"/>
      <c r="AQ214" s="1"/>
    </row>
    <row r="215" spans="10:43" x14ac:dyDescent="0.25">
      <c r="J215" s="1"/>
      <c r="K215" s="1"/>
      <c r="L215" s="1"/>
      <c r="M215" s="1"/>
      <c r="N215" s="1"/>
      <c r="O215" s="1"/>
      <c r="P215" s="1"/>
      <c r="Q215" s="1"/>
      <c r="R215" s="1"/>
      <c r="S215" s="1"/>
      <c r="T215" s="1"/>
      <c r="U215" s="1"/>
      <c r="V215" s="1"/>
      <c r="W215" s="1"/>
      <c r="X215" s="1"/>
      <c r="Y215" s="1"/>
      <c r="Z215" s="1"/>
      <c r="AA215" s="1"/>
      <c r="AB215" s="1"/>
      <c r="AC215" s="1"/>
      <c r="AD215" s="1"/>
      <c r="AE215" s="1"/>
      <c r="AQ215" s="1"/>
    </row>
    <row r="216" spans="10:43" x14ac:dyDescent="0.25">
      <c r="J216" s="1"/>
      <c r="K216" s="1"/>
      <c r="L216" s="1"/>
      <c r="M216" s="1"/>
      <c r="N216" s="1"/>
      <c r="O216" s="1"/>
      <c r="P216" s="1"/>
      <c r="Q216" s="1"/>
      <c r="R216" s="1"/>
      <c r="S216" s="1"/>
      <c r="T216" s="1"/>
      <c r="U216" s="1"/>
      <c r="V216" s="1"/>
      <c r="W216" s="1"/>
      <c r="X216" s="1"/>
      <c r="Y216" s="1"/>
      <c r="Z216" s="1"/>
      <c r="AA216" s="1"/>
      <c r="AB216" s="1"/>
      <c r="AC216" s="1"/>
      <c r="AD216" s="1"/>
      <c r="AE216" s="1"/>
      <c r="AQ216" s="1"/>
    </row>
    <row r="217" spans="10:43" x14ac:dyDescent="0.25">
      <c r="J217" s="1"/>
      <c r="K217" s="1"/>
      <c r="L217" s="1"/>
      <c r="M217" s="1"/>
      <c r="N217" s="1"/>
      <c r="O217" s="1"/>
      <c r="P217" s="1"/>
      <c r="Q217" s="1"/>
      <c r="R217" s="1"/>
      <c r="S217" s="1"/>
      <c r="T217" s="1"/>
      <c r="U217" s="1"/>
      <c r="V217" s="1"/>
      <c r="W217" s="1"/>
      <c r="X217" s="1"/>
      <c r="Y217" s="1"/>
      <c r="Z217" s="1"/>
      <c r="AA217" s="1"/>
      <c r="AB217" s="1"/>
      <c r="AC217" s="1"/>
      <c r="AD217" s="1"/>
      <c r="AE217" s="1"/>
      <c r="AQ217" s="1"/>
    </row>
    <row r="218" spans="10:43" x14ac:dyDescent="0.25">
      <c r="J218" s="1"/>
      <c r="K218" s="1"/>
      <c r="L218" s="1"/>
      <c r="M218" s="1"/>
      <c r="N218" s="1"/>
      <c r="O218" s="1"/>
      <c r="P218" s="1"/>
      <c r="Q218" s="1"/>
      <c r="R218" s="1"/>
      <c r="S218" s="1"/>
      <c r="T218" s="1"/>
      <c r="U218" s="1"/>
      <c r="V218" s="1"/>
      <c r="W218" s="1"/>
      <c r="X218" s="1"/>
      <c r="Y218" s="1"/>
      <c r="Z218" s="1"/>
      <c r="AA218" s="1"/>
      <c r="AB218" s="1"/>
      <c r="AC218" s="1"/>
      <c r="AD218" s="1"/>
      <c r="AE218" s="1"/>
      <c r="AQ218" s="1"/>
    </row>
    <row r="219" spans="10:43" x14ac:dyDescent="0.25">
      <c r="J219" s="1"/>
      <c r="K219" s="1"/>
      <c r="L219" s="1"/>
      <c r="M219" s="1"/>
      <c r="N219" s="1"/>
      <c r="O219" s="1"/>
      <c r="P219" s="1"/>
      <c r="Q219" s="1"/>
      <c r="R219" s="1"/>
      <c r="S219" s="1"/>
      <c r="T219" s="1"/>
      <c r="U219" s="1"/>
      <c r="V219" s="1"/>
      <c r="W219" s="1"/>
      <c r="X219" s="1"/>
      <c r="Y219" s="1"/>
      <c r="Z219" s="1"/>
      <c r="AA219" s="1"/>
      <c r="AB219" s="1"/>
      <c r="AC219" s="1"/>
      <c r="AD219" s="1"/>
      <c r="AE219" s="1"/>
      <c r="AQ219" s="1"/>
    </row>
    <row r="220" spans="10:43" x14ac:dyDescent="0.25">
      <c r="J220" s="1"/>
      <c r="K220" s="1"/>
      <c r="L220" s="1"/>
      <c r="M220" s="1"/>
      <c r="N220" s="1"/>
      <c r="O220" s="1"/>
      <c r="P220" s="1"/>
      <c r="Q220" s="1"/>
      <c r="R220" s="1"/>
      <c r="S220" s="1"/>
      <c r="T220" s="1"/>
      <c r="U220" s="1"/>
      <c r="V220" s="1"/>
      <c r="W220" s="1"/>
      <c r="X220" s="1"/>
      <c r="Y220" s="1"/>
      <c r="Z220" s="1"/>
      <c r="AA220" s="1"/>
      <c r="AB220" s="1"/>
      <c r="AC220" s="1"/>
      <c r="AD220" s="1"/>
      <c r="AE220" s="1"/>
      <c r="AQ220" s="1"/>
    </row>
    <row r="221" spans="10:43" x14ac:dyDescent="0.25">
      <c r="J221" s="1"/>
      <c r="K221" s="1"/>
      <c r="L221" s="1"/>
      <c r="M221" s="1"/>
      <c r="N221" s="1"/>
      <c r="O221" s="1"/>
      <c r="P221" s="1"/>
      <c r="Q221" s="1"/>
      <c r="R221" s="1"/>
      <c r="S221" s="1"/>
      <c r="T221" s="1"/>
      <c r="U221" s="1"/>
      <c r="V221" s="1"/>
      <c r="W221" s="1"/>
      <c r="X221" s="1"/>
      <c r="Y221" s="1"/>
      <c r="Z221" s="1"/>
      <c r="AA221" s="1"/>
      <c r="AB221" s="1"/>
      <c r="AC221" s="1"/>
      <c r="AD221" s="1"/>
      <c r="AE221" s="1"/>
      <c r="AQ221" s="1"/>
    </row>
    <row r="222" spans="10:43" x14ac:dyDescent="0.25">
      <c r="J222" s="1"/>
      <c r="K222" s="1"/>
      <c r="L222" s="1"/>
      <c r="M222" s="1"/>
      <c r="N222" s="1"/>
      <c r="O222" s="1"/>
      <c r="P222" s="1"/>
      <c r="Q222" s="1"/>
      <c r="R222" s="1"/>
      <c r="S222" s="1"/>
      <c r="T222" s="1"/>
      <c r="U222" s="1"/>
      <c r="V222" s="1"/>
      <c r="W222" s="1"/>
      <c r="X222" s="1"/>
      <c r="Y222" s="1"/>
      <c r="Z222" s="1"/>
      <c r="AA222" s="1"/>
      <c r="AB222" s="1"/>
      <c r="AC222" s="1"/>
      <c r="AD222" s="1"/>
      <c r="AE222" s="1"/>
      <c r="AQ222" s="1"/>
    </row>
    <row r="223" spans="10:43" x14ac:dyDescent="0.25">
      <c r="J223" s="1"/>
      <c r="K223" s="1"/>
      <c r="L223" s="1"/>
      <c r="M223" s="1"/>
      <c r="N223" s="1"/>
      <c r="O223" s="1"/>
      <c r="P223" s="1"/>
      <c r="Q223" s="1"/>
      <c r="R223" s="1"/>
      <c r="S223" s="1"/>
      <c r="T223" s="1"/>
      <c r="U223" s="1"/>
      <c r="V223" s="1"/>
      <c r="W223" s="1"/>
      <c r="X223" s="1"/>
      <c r="Y223" s="1"/>
      <c r="Z223" s="1"/>
      <c r="AA223" s="1"/>
      <c r="AB223" s="1"/>
      <c r="AC223" s="1"/>
      <c r="AD223" s="1"/>
      <c r="AE223" s="1"/>
      <c r="AQ223" s="1"/>
    </row>
    <row r="224" spans="10:43" x14ac:dyDescent="0.25">
      <c r="J224" s="1"/>
      <c r="K224" s="1"/>
      <c r="L224" s="1"/>
      <c r="M224" s="1"/>
      <c r="N224" s="1"/>
      <c r="O224" s="1"/>
      <c r="P224" s="1"/>
      <c r="Q224" s="1"/>
      <c r="R224" s="1"/>
      <c r="S224" s="1"/>
      <c r="T224" s="1"/>
      <c r="U224" s="1"/>
      <c r="V224" s="1"/>
      <c r="W224" s="1"/>
      <c r="X224" s="1"/>
      <c r="Y224" s="1"/>
      <c r="Z224" s="1"/>
      <c r="AA224" s="1"/>
      <c r="AB224" s="1"/>
      <c r="AC224" s="1"/>
      <c r="AD224" s="1"/>
      <c r="AE224" s="1"/>
      <c r="AQ224" s="1"/>
    </row>
    <row r="225" spans="10:43" x14ac:dyDescent="0.25">
      <c r="J225" s="1"/>
      <c r="K225" s="1"/>
      <c r="L225" s="1"/>
      <c r="M225" s="1"/>
      <c r="N225" s="1"/>
      <c r="O225" s="1"/>
      <c r="P225" s="1"/>
      <c r="Q225" s="1"/>
      <c r="R225" s="1"/>
      <c r="S225" s="1"/>
      <c r="T225" s="1"/>
      <c r="U225" s="1"/>
      <c r="V225" s="1"/>
      <c r="W225" s="1"/>
      <c r="X225" s="1"/>
      <c r="Y225" s="1"/>
      <c r="Z225" s="1"/>
      <c r="AA225" s="1"/>
      <c r="AB225" s="1"/>
      <c r="AC225" s="1"/>
      <c r="AD225" s="1"/>
      <c r="AE225" s="1"/>
      <c r="AQ225" s="1"/>
    </row>
    <row r="226" spans="10:43" x14ac:dyDescent="0.25">
      <c r="J226" s="1"/>
      <c r="K226" s="1"/>
      <c r="L226" s="1"/>
      <c r="M226" s="1"/>
      <c r="N226" s="1"/>
      <c r="O226" s="1"/>
      <c r="P226" s="1"/>
      <c r="Q226" s="1"/>
      <c r="R226" s="1"/>
      <c r="S226" s="1"/>
      <c r="T226" s="1"/>
      <c r="U226" s="1"/>
      <c r="V226" s="1"/>
      <c r="W226" s="1"/>
      <c r="X226" s="1"/>
      <c r="Y226" s="1"/>
      <c r="Z226" s="1"/>
      <c r="AA226" s="1"/>
      <c r="AB226" s="1"/>
      <c r="AC226" s="1"/>
      <c r="AD226" s="1"/>
      <c r="AE226" s="1"/>
      <c r="AQ226" s="1"/>
    </row>
    <row r="227" spans="10:43" x14ac:dyDescent="0.25">
      <c r="J227" s="1"/>
      <c r="K227" s="1"/>
      <c r="L227" s="1"/>
      <c r="M227" s="1"/>
      <c r="N227" s="1"/>
      <c r="O227" s="1"/>
      <c r="P227" s="1"/>
      <c r="Q227" s="1"/>
      <c r="R227" s="1"/>
      <c r="S227" s="1"/>
      <c r="T227" s="1"/>
      <c r="U227" s="1"/>
      <c r="V227" s="1"/>
      <c r="W227" s="1"/>
      <c r="X227" s="1"/>
      <c r="Y227" s="1"/>
      <c r="Z227" s="1"/>
      <c r="AA227" s="1"/>
      <c r="AB227" s="1"/>
      <c r="AC227" s="1"/>
      <c r="AD227" s="1"/>
      <c r="AE227" s="1"/>
      <c r="AQ227" s="1"/>
    </row>
    <row r="228" spans="10:43" x14ac:dyDescent="0.25">
      <c r="J228" s="1"/>
      <c r="K228" s="1"/>
      <c r="L228" s="1"/>
      <c r="M228" s="1"/>
      <c r="N228" s="1"/>
      <c r="O228" s="1"/>
      <c r="P228" s="1"/>
      <c r="Q228" s="1"/>
      <c r="R228" s="1"/>
      <c r="S228" s="1"/>
      <c r="T228" s="1"/>
      <c r="U228" s="1"/>
      <c r="V228" s="1"/>
      <c r="W228" s="1"/>
      <c r="X228" s="1"/>
      <c r="Y228" s="1"/>
      <c r="Z228" s="1"/>
      <c r="AA228" s="1"/>
      <c r="AB228" s="1"/>
      <c r="AC228" s="1"/>
      <c r="AD228" s="1"/>
      <c r="AE228" s="1"/>
      <c r="AQ228" s="1"/>
    </row>
    <row r="229" spans="10:43" x14ac:dyDescent="0.25">
      <c r="J229" s="1"/>
      <c r="K229" s="1"/>
      <c r="L229" s="1"/>
      <c r="M229" s="1"/>
      <c r="N229" s="1"/>
      <c r="O229" s="1"/>
      <c r="P229" s="1"/>
      <c r="Q229" s="1"/>
      <c r="R229" s="1"/>
      <c r="S229" s="1"/>
      <c r="T229" s="1"/>
      <c r="U229" s="1"/>
      <c r="V229" s="1"/>
      <c r="W229" s="1"/>
      <c r="X229" s="1"/>
      <c r="Y229" s="1"/>
      <c r="Z229" s="1"/>
      <c r="AA229" s="1"/>
      <c r="AB229" s="1"/>
      <c r="AC229" s="1"/>
      <c r="AD229" s="1"/>
      <c r="AE229" s="1"/>
      <c r="AQ229" s="1"/>
    </row>
    <row r="230" spans="10:43" x14ac:dyDescent="0.25">
      <c r="J230" s="1"/>
      <c r="K230" s="1"/>
      <c r="L230" s="1"/>
      <c r="M230" s="1"/>
      <c r="N230" s="1"/>
      <c r="O230" s="1"/>
      <c r="P230" s="1"/>
      <c r="Q230" s="1"/>
      <c r="R230" s="1"/>
      <c r="S230" s="1"/>
      <c r="T230" s="1"/>
      <c r="U230" s="1"/>
      <c r="V230" s="1"/>
      <c r="W230" s="1"/>
      <c r="X230" s="1"/>
      <c r="Y230" s="1"/>
      <c r="Z230" s="1"/>
      <c r="AA230" s="1"/>
      <c r="AB230" s="1"/>
      <c r="AC230" s="1"/>
      <c r="AD230" s="1"/>
      <c r="AE230" s="1"/>
      <c r="AQ230" s="1"/>
    </row>
    <row r="231" spans="10:43" x14ac:dyDescent="0.25">
      <c r="J231" s="1"/>
      <c r="K231" s="1"/>
      <c r="L231" s="1"/>
      <c r="M231" s="1"/>
      <c r="N231" s="1"/>
      <c r="O231" s="1"/>
      <c r="P231" s="1"/>
      <c r="Q231" s="1"/>
      <c r="R231" s="1"/>
      <c r="S231" s="1"/>
      <c r="T231" s="1"/>
      <c r="U231" s="1"/>
      <c r="V231" s="1"/>
      <c r="W231" s="1"/>
      <c r="X231" s="1"/>
      <c r="Y231" s="1"/>
      <c r="Z231" s="1"/>
      <c r="AA231" s="1"/>
      <c r="AB231" s="1"/>
      <c r="AC231" s="1"/>
      <c r="AD231" s="1"/>
      <c r="AE231" s="1"/>
      <c r="AQ231" s="1"/>
    </row>
    <row r="232" spans="10:43" x14ac:dyDescent="0.25">
      <c r="J232" s="1"/>
      <c r="K232" s="1"/>
      <c r="L232" s="1"/>
      <c r="M232" s="1"/>
      <c r="N232" s="1"/>
      <c r="O232" s="1"/>
      <c r="P232" s="1"/>
      <c r="Q232" s="1"/>
      <c r="R232" s="1"/>
      <c r="S232" s="1"/>
      <c r="T232" s="1"/>
      <c r="U232" s="1"/>
      <c r="V232" s="1"/>
      <c r="W232" s="1"/>
      <c r="X232" s="1"/>
      <c r="Y232" s="1"/>
      <c r="Z232" s="1"/>
      <c r="AA232" s="1"/>
      <c r="AB232" s="1"/>
      <c r="AC232" s="1"/>
      <c r="AD232" s="1"/>
      <c r="AE232" s="1"/>
      <c r="AQ232" s="1"/>
    </row>
    <row r="233" spans="10:43" x14ac:dyDescent="0.25">
      <c r="J233" s="1"/>
      <c r="K233" s="1"/>
      <c r="L233" s="1"/>
      <c r="M233" s="1"/>
      <c r="N233" s="1"/>
      <c r="O233" s="1"/>
      <c r="P233" s="1"/>
      <c r="Q233" s="1"/>
      <c r="R233" s="1"/>
      <c r="S233" s="1"/>
      <c r="T233" s="1"/>
      <c r="U233" s="1"/>
      <c r="V233" s="1"/>
      <c r="W233" s="1"/>
      <c r="X233" s="1"/>
      <c r="Y233" s="1"/>
      <c r="Z233" s="1"/>
      <c r="AA233" s="1"/>
      <c r="AB233" s="1"/>
      <c r="AC233" s="1"/>
      <c r="AD233" s="1"/>
      <c r="AE233" s="1"/>
      <c r="AQ233" s="1"/>
    </row>
    <row r="234" spans="10:43" x14ac:dyDescent="0.25">
      <c r="J234" s="1"/>
      <c r="K234" s="1"/>
      <c r="L234" s="1"/>
      <c r="M234" s="1"/>
      <c r="N234" s="1"/>
      <c r="O234" s="1"/>
      <c r="P234" s="1"/>
      <c r="Q234" s="1"/>
      <c r="R234" s="1"/>
      <c r="S234" s="1"/>
      <c r="T234" s="1"/>
      <c r="U234" s="1"/>
      <c r="V234" s="1"/>
      <c r="W234" s="1"/>
      <c r="X234" s="1"/>
      <c r="Y234" s="1"/>
      <c r="Z234" s="1"/>
      <c r="AA234" s="1"/>
      <c r="AB234" s="1"/>
      <c r="AC234" s="1"/>
      <c r="AD234" s="1"/>
      <c r="AE234" s="1"/>
      <c r="AQ234" s="1"/>
    </row>
    <row r="235" spans="10:43" x14ac:dyDescent="0.25">
      <c r="J235" s="1"/>
      <c r="K235" s="1"/>
      <c r="L235" s="1"/>
      <c r="M235" s="1"/>
      <c r="N235" s="1"/>
      <c r="O235" s="1"/>
      <c r="P235" s="1"/>
      <c r="Q235" s="1"/>
      <c r="R235" s="1"/>
      <c r="S235" s="1"/>
      <c r="T235" s="1"/>
      <c r="U235" s="1"/>
      <c r="V235" s="1"/>
      <c r="W235" s="1"/>
      <c r="X235" s="1"/>
      <c r="Y235" s="1"/>
      <c r="Z235" s="1"/>
      <c r="AA235" s="1"/>
      <c r="AB235" s="1"/>
      <c r="AC235" s="1"/>
      <c r="AD235" s="1"/>
      <c r="AE235" s="1"/>
      <c r="AQ235" s="1"/>
    </row>
    <row r="236" spans="10:43" x14ac:dyDescent="0.25">
      <c r="J236" s="1"/>
      <c r="K236" s="1"/>
      <c r="L236" s="1"/>
      <c r="M236" s="1"/>
      <c r="N236" s="1"/>
      <c r="O236" s="1"/>
      <c r="P236" s="1"/>
      <c r="Q236" s="1"/>
      <c r="R236" s="1"/>
      <c r="S236" s="1"/>
      <c r="T236" s="1"/>
      <c r="U236" s="1"/>
      <c r="V236" s="1"/>
      <c r="W236" s="1"/>
      <c r="X236" s="1"/>
      <c r="Y236" s="1"/>
      <c r="Z236" s="1"/>
      <c r="AA236" s="1"/>
      <c r="AB236" s="1"/>
      <c r="AC236" s="1"/>
      <c r="AD236" s="1"/>
      <c r="AE236" s="1"/>
      <c r="AQ236" s="1"/>
    </row>
    <row r="237" spans="10:43" x14ac:dyDescent="0.25">
      <c r="J237" s="1"/>
      <c r="K237" s="1"/>
      <c r="L237" s="1"/>
      <c r="M237" s="1"/>
      <c r="N237" s="1"/>
      <c r="O237" s="1"/>
      <c r="P237" s="1"/>
      <c r="Q237" s="1"/>
      <c r="R237" s="1"/>
      <c r="S237" s="1"/>
      <c r="T237" s="1"/>
      <c r="U237" s="1"/>
      <c r="V237" s="1"/>
      <c r="W237" s="1"/>
      <c r="X237" s="1"/>
      <c r="Y237" s="1"/>
      <c r="Z237" s="1"/>
      <c r="AA237" s="1"/>
      <c r="AB237" s="1"/>
      <c r="AC237" s="1"/>
      <c r="AD237" s="1"/>
      <c r="AE237" s="1"/>
      <c r="AQ237" s="1"/>
    </row>
    <row r="238" spans="10:43" x14ac:dyDescent="0.25">
      <c r="J238" s="1"/>
      <c r="K238" s="1"/>
      <c r="L238" s="1"/>
      <c r="M238" s="1"/>
      <c r="N238" s="1"/>
      <c r="O238" s="1"/>
      <c r="P238" s="1"/>
      <c r="Q238" s="1"/>
      <c r="R238" s="1"/>
      <c r="S238" s="1"/>
      <c r="T238" s="1"/>
      <c r="U238" s="1"/>
      <c r="V238" s="1"/>
      <c r="W238" s="1"/>
      <c r="X238" s="1"/>
      <c r="Y238" s="1"/>
      <c r="Z238" s="1"/>
      <c r="AA238" s="1"/>
      <c r="AB238" s="1"/>
      <c r="AC238" s="1"/>
      <c r="AD238" s="1"/>
      <c r="AE238" s="1"/>
      <c r="AQ238" s="1"/>
    </row>
    <row r="239" spans="10:43" x14ac:dyDescent="0.25">
      <c r="J239" s="1"/>
      <c r="K239" s="1"/>
      <c r="L239" s="1"/>
      <c r="M239" s="1"/>
      <c r="N239" s="1"/>
      <c r="O239" s="1"/>
      <c r="P239" s="1"/>
      <c r="Q239" s="1"/>
      <c r="R239" s="1"/>
      <c r="S239" s="1"/>
      <c r="T239" s="1"/>
      <c r="U239" s="1"/>
      <c r="V239" s="1"/>
      <c r="W239" s="1"/>
      <c r="X239" s="1"/>
      <c r="Y239" s="1"/>
      <c r="Z239" s="1"/>
      <c r="AA239" s="1"/>
      <c r="AB239" s="1"/>
      <c r="AC239" s="1"/>
      <c r="AD239" s="1"/>
      <c r="AE239" s="1"/>
      <c r="AQ239" s="1"/>
    </row>
    <row r="240" spans="10:43" x14ac:dyDescent="0.25">
      <c r="J240" s="1"/>
      <c r="K240" s="1"/>
      <c r="L240" s="1"/>
      <c r="M240" s="1"/>
      <c r="N240" s="1"/>
      <c r="O240" s="1"/>
      <c r="P240" s="1"/>
      <c r="Q240" s="1"/>
      <c r="R240" s="1"/>
      <c r="S240" s="1"/>
      <c r="T240" s="1"/>
      <c r="U240" s="1"/>
      <c r="V240" s="1"/>
      <c r="W240" s="1"/>
      <c r="X240" s="1"/>
      <c r="Y240" s="1"/>
      <c r="Z240" s="1"/>
      <c r="AA240" s="1"/>
      <c r="AB240" s="1"/>
      <c r="AC240" s="1"/>
      <c r="AD240" s="1"/>
      <c r="AE240" s="1"/>
      <c r="AQ240" s="1"/>
    </row>
    <row r="241" spans="10:43" x14ac:dyDescent="0.25">
      <c r="J241" s="1"/>
      <c r="K241" s="1"/>
      <c r="L241" s="1"/>
      <c r="M241" s="1"/>
      <c r="N241" s="1"/>
      <c r="O241" s="1"/>
      <c r="P241" s="1"/>
      <c r="Q241" s="1"/>
      <c r="R241" s="1"/>
      <c r="S241" s="1"/>
      <c r="T241" s="1"/>
      <c r="U241" s="1"/>
      <c r="V241" s="1"/>
      <c r="W241" s="1"/>
      <c r="X241" s="1"/>
      <c r="Y241" s="1"/>
      <c r="Z241" s="1"/>
      <c r="AA241" s="1"/>
      <c r="AB241" s="1"/>
      <c r="AC241" s="1"/>
      <c r="AD241" s="1"/>
      <c r="AE241" s="1"/>
      <c r="AQ241" s="1"/>
    </row>
    <row r="242" spans="10:43" x14ac:dyDescent="0.25">
      <c r="J242" s="1"/>
      <c r="K242" s="1"/>
      <c r="L242" s="1"/>
      <c r="M242" s="1"/>
      <c r="N242" s="1"/>
      <c r="O242" s="1"/>
      <c r="P242" s="1"/>
      <c r="Q242" s="1"/>
      <c r="R242" s="1"/>
      <c r="S242" s="1"/>
      <c r="T242" s="1"/>
      <c r="U242" s="1"/>
      <c r="V242" s="1"/>
      <c r="W242" s="1"/>
      <c r="X242" s="1"/>
      <c r="Y242" s="1"/>
      <c r="Z242" s="1"/>
      <c r="AA242" s="1"/>
      <c r="AB242" s="1"/>
      <c r="AC242" s="1"/>
      <c r="AD242" s="1"/>
      <c r="AE242" s="1"/>
      <c r="AQ242" s="1"/>
    </row>
    <row r="243" spans="10:43" x14ac:dyDescent="0.25">
      <c r="J243" s="1"/>
      <c r="K243" s="1"/>
      <c r="L243" s="1"/>
      <c r="M243" s="1"/>
      <c r="N243" s="1"/>
      <c r="O243" s="1"/>
      <c r="P243" s="1"/>
      <c r="Q243" s="1"/>
      <c r="R243" s="1"/>
      <c r="S243" s="1"/>
      <c r="T243" s="1"/>
      <c r="U243" s="1"/>
      <c r="V243" s="1"/>
      <c r="W243" s="1"/>
      <c r="X243" s="1"/>
      <c r="Y243" s="1"/>
      <c r="Z243" s="1"/>
      <c r="AA243" s="1"/>
      <c r="AB243" s="1"/>
      <c r="AC243" s="1"/>
      <c r="AD243" s="1"/>
      <c r="AE243" s="1"/>
      <c r="AQ243" s="1"/>
    </row>
    <row r="244" spans="10:43" x14ac:dyDescent="0.25">
      <c r="J244" s="1"/>
      <c r="K244" s="1"/>
      <c r="L244" s="1"/>
      <c r="M244" s="1"/>
      <c r="N244" s="1"/>
      <c r="O244" s="1"/>
      <c r="P244" s="1"/>
      <c r="Q244" s="1"/>
      <c r="R244" s="1"/>
      <c r="S244" s="1"/>
      <c r="T244" s="1"/>
      <c r="U244" s="1"/>
      <c r="V244" s="1"/>
      <c r="W244" s="1"/>
      <c r="X244" s="1"/>
      <c r="Y244" s="1"/>
      <c r="Z244" s="1"/>
      <c r="AA244" s="1"/>
      <c r="AB244" s="1"/>
      <c r="AC244" s="1"/>
      <c r="AD244" s="1"/>
      <c r="AE244" s="1"/>
      <c r="AQ244" s="1"/>
    </row>
    <row r="245" spans="10:43" x14ac:dyDescent="0.25">
      <c r="J245" s="1"/>
      <c r="K245" s="1"/>
      <c r="L245" s="1"/>
      <c r="M245" s="1"/>
      <c r="N245" s="1"/>
      <c r="O245" s="1"/>
      <c r="P245" s="1"/>
      <c r="Q245" s="1"/>
      <c r="R245" s="1"/>
      <c r="S245" s="1"/>
      <c r="T245" s="1"/>
      <c r="U245" s="1"/>
      <c r="V245" s="1"/>
      <c r="W245" s="1"/>
      <c r="X245" s="1"/>
      <c r="Y245" s="1"/>
      <c r="Z245" s="1"/>
      <c r="AA245" s="1"/>
      <c r="AB245" s="1"/>
      <c r="AC245" s="1"/>
      <c r="AD245" s="1"/>
      <c r="AE245" s="1"/>
      <c r="AQ245" s="1"/>
    </row>
    <row r="246" spans="10:43" x14ac:dyDescent="0.25">
      <c r="J246" s="1"/>
      <c r="K246" s="1"/>
      <c r="L246" s="1"/>
      <c r="M246" s="1"/>
      <c r="N246" s="1"/>
      <c r="O246" s="1"/>
      <c r="P246" s="1"/>
      <c r="Q246" s="1"/>
      <c r="R246" s="1"/>
      <c r="S246" s="1"/>
      <c r="T246" s="1"/>
      <c r="U246" s="1"/>
      <c r="V246" s="1"/>
      <c r="W246" s="1"/>
      <c r="X246" s="1"/>
      <c r="Y246" s="1"/>
      <c r="Z246" s="1"/>
      <c r="AA246" s="1"/>
      <c r="AB246" s="1"/>
      <c r="AC246" s="1"/>
      <c r="AD246" s="1"/>
      <c r="AE246" s="1"/>
      <c r="AQ246" s="1"/>
    </row>
    <row r="247" spans="10:43" x14ac:dyDescent="0.25">
      <c r="J247" s="1"/>
      <c r="K247" s="1"/>
      <c r="L247" s="1"/>
      <c r="M247" s="1"/>
      <c r="N247" s="1"/>
      <c r="O247" s="1"/>
      <c r="P247" s="1"/>
      <c r="Q247" s="1"/>
      <c r="R247" s="1"/>
      <c r="S247" s="1"/>
      <c r="T247" s="1"/>
      <c r="U247" s="1"/>
      <c r="V247" s="1"/>
      <c r="W247" s="1"/>
      <c r="X247" s="1"/>
      <c r="Y247" s="1"/>
      <c r="Z247" s="1"/>
      <c r="AA247" s="1"/>
      <c r="AB247" s="1"/>
      <c r="AC247" s="1"/>
      <c r="AD247" s="1"/>
      <c r="AE247" s="1"/>
      <c r="AQ247" s="1"/>
    </row>
    <row r="248" spans="10:43" x14ac:dyDescent="0.25">
      <c r="J248" s="1"/>
      <c r="K248" s="1"/>
      <c r="L248" s="1"/>
      <c r="M248" s="1"/>
      <c r="N248" s="1"/>
      <c r="O248" s="1"/>
      <c r="P248" s="1"/>
      <c r="Q248" s="1"/>
      <c r="R248" s="1"/>
      <c r="S248" s="1"/>
      <c r="T248" s="1"/>
      <c r="U248" s="1"/>
      <c r="V248" s="1"/>
      <c r="W248" s="1"/>
      <c r="X248" s="1"/>
      <c r="Y248" s="1"/>
      <c r="Z248" s="1"/>
      <c r="AA248" s="1"/>
      <c r="AB248" s="1"/>
      <c r="AC248" s="1"/>
      <c r="AD248" s="1"/>
      <c r="AE248" s="1"/>
      <c r="AQ248" s="1"/>
    </row>
    <row r="249" spans="10:43" x14ac:dyDescent="0.25">
      <c r="J249" s="1"/>
      <c r="K249" s="1"/>
      <c r="L249" s="1"/>
      <c r="M249" s="1"/>
      <c r="N249" s="1"/>
      <c r="O249" s="1"/>
      <c r="P249" s="1"/>
      <c r="Q249" s="1"/>
      <c r="R249" s="1"/>
      <c r="S249" s="1"/>
      <c r="T249" s="1"/>
      <c r="U249" s="1"/>
      <c r="V249" s="1"/>
      <c r="W249" s="1"/>
      <c r="X249" s="1"/>
      <c r="Y249" s="1"/>
      <c r="Z249" s="1"/>
      <c r="AA249" s="1"/>
      <c r="AB249" s="1"/>
      <c r="AC249" s="1"/>
      <c r="AD249" s="1"/>
      <c r="AE249" s="1"/>
      <c r="AQ249" s="1"/>
    </row>
    <row r="250" spans="10:43" x14ac:dyDescent="0.25">
      <c r="J250" s="1"/>
      <c r="K250" s="1"/>
      <c r="L250" s="1"/>
      <c r="M250" s="1"/>
      <c r="N250" s="1"/>
      <c r="O250" s="1"/>
      <c r="P250" s="1"/>
      <c r="Q250" s="1"/>
      <c r="R250" s="1"/>
      <c r="S250" s="1"/>
      <c r="T250" s="1"/>
      <c r="U250" s="1"/>
      <c r="V250" s="1"/>
      <c r="W250" s="1"/>
      <c r="X250" s="1"/>
      <c r="Y250" s="1"/>
      <c r="Z250" s="1"/>
      <c r="AA250" s="1"/>
      <c r="AB250" s="1"/>
      <c r="AC250" s="1"/>
      <c r="AD250" s="1"/>
      <c r="AE250" s="1"/>
      <c r="AQ250" s="1"/>
    </row>
    <row r="251" spans="10:43" x14ac:dyDescent="0.25">
      <c r="J251" s="1"/>
      <c r="K251" s="1"/>
      <c r="L251" s="1"/>
      <c r="M251" s="1"/>
      <c r="N251" s="1"/>
      <c r="O251" s="1"/>
      <c r="P251" s="1"/>
      <c r="Q251" s="1"/>
      <c r="R251" s="1"/>
      <c r="S251" s="1"/>
      <c r="T251" s="1"/>
      <c r="U251" s="1"/>
      <c r="V251" s="1"/>
      <c r="W251" s="1"/>
      <c r="X251" s="1"/>
      <c r="Y251" s="1"/>
      <c r="Z251" s="1"/>
      <c r="AA251" s="1"/>
      <c r="AB251" s="1"/>
      <c r="AC251" s="1"/>
      <c r="AD251" s="1"/>
      <c r="AE251" s="1"/>
      <c r="AQ251" s="1"/>
    </row>
    <row r="252" spans="10:43" x14ac:dyDescent="0.25">
      <c r="J252" s="1"/>
      <c r="K252" s="1"/>
      <c r="L252" s="1"/>
      <c r="M252" s="1"/>
      <c r="N252" s="1"/>
      <c r="O252" s="1"/>
      <c r="P252" s="1"/>
      <c r="Q252" s="1"/>
      <c r="R252" s="1"/>
      <c r="S252" s="1"/>
      <c r="T252" s="1"/>
      <c r="U252" s="1"/>
      <c r="V252" s="1"/>
      <c r="W252" s="1"/>
      <c r="X252" s="1"/>
      <c r="Y252" s="1"/>
      <c r="Z252" s="1"/>
      <c r="AA252" s="1"/>
      <c r="AB252" s="1"/>
      <c r="AC252" s="1"/>
      <c r="AD252" s="1"/>
      <c r="AE252" s="1"/>
      <c r="AQ252" s="1"/>
    </row>
    <row r="253" spans="10:43" x14ac:dyDescent="0.25">
      <c r="J253" s="1"/>
      <c r="K253" s="1"/>
      <c r="L253" s="1"/>
      <c r="M253" s="1"/>
      <c r="N253" s="1"/>
      <c r="O253" s="1"/>
      <c r="P253" s="1"/>
      <c r="Q253" s="1"/>
      <c r="R253" s="1"/>
      <c r="S253" s="1"/>
      <c r="T253" s="1"/>
      <c r="U253" s="1"/>
      <c r="V253" s="1"/>
      <c r="W253" s="1"/>
      <c r="X253" s="1"/>
      <c r="Y253" s="1"/>
      <c r="Z253" s="1"/>
      <c r="AA253" s="1"/>
      <c r="AB253" s="1"/>
      <c r="AC253" s="1"/>
      <c r="AD253" s="1"/>
      <c r="AE253" s="1"/>
      <c r="AQ253" s="1"/>
    </row>
    <row r="254" spans="10:43" x14ac:dyDescent="0.25">
      <c r="J254" s="1"/>
      <c r="K254" s="1"/>
      <c r="L254" s="1"/>
      <c r="M254" s="1"/>
      <c r="N254" s="1"/>
      <c r="O254" s="1"/>
      <c r="P254" s="1"/>
      <c r="Q254" s="1"/>
      <c r="R254" s="1"/>
      <c r="S254" s="1"/>
      <c r="T254" s="1"/>
      <c r="U254" s="1"/>
      <c r="V254" s="1"/>
      <c r="W254" s="1"/>
      <c r="X254" s="1"/>
      <c r="Y254" s="1"/>
      <c r="Z254" s="1"/>
      <c r="AA254" s="1"/>
      <c r="AB254" s="1"/>
      <c r="AC254" s="1"/>
      <c r="AD254" s="1"/>
      <c r="AE254" s="1"/>
      <c r="AQ254" s="1"/>
    </row>
    <row r="255" spans="10:43" x14ac:dyDescent="0.25">
      <c r="J255" s="1"/>
      <c r="K255" s="1"/>
      <c r="L255" s="1"/>
      <c r="M255" s="1"/>
      <c r="N255" s="1"/>
      <c r="O255" s="1"/>
      <c r="P255" s="1"/>
      <c r="Q255" s="1"/>
      <c r="R255" s="1"/>
      <c r="S255" s="1"/>
      <c r="T255" s="1"/>
      <c r="U255" s="1"/>
      <c r="V255" s="1"/>
      <c r="W255" s="1"/>
      <c r="X255" s="1"/>
      <c r="Y255" s="1"/>
      <c r="Z255" s="1"/>
      <c r="AA255" s="1"/>
      <c r="AB255" s="1"/>
      <c r="AC255" s="1"/>
      <c r="AD255" s="1"/>
      <c r="AE255" s="1"/>
      <c r="AQ255" s="1"/>
    </row>
    <row r="256" spans="10:43" x14ac:dyDescent="0.25">
      <c r="J256" s="1"/>
      <c r="K256" s="1"/>
      <c r="L256" s="1"/>
      <c r="M256" s="1"/>
      <c r="N256" s="1"/>
      <c r="O256" s="1"/>
      <c r="P256" s="1"/>
      <c r="Q256" s="1"/>
      <c r="R256" s="1"/>
      <c r="S256" s="1"/>
      <c r="T256" s="1"/>
      <c r="U256" s="1"/>
      <c r="V256" s="1"/>
      <c r="W256" s="1"/>
      <c r="X256" s="1"/>
      <c r="Y256" s="1"/>
      <c r="Z256" s="1"/>
      <c r="AA256" s="1"/>
      <c r="AB256" s="1"/>
      <c r="AC256" s="1"/>
      <c r="AD256" s="1"/>
      <c r="AE256" s="1"/>
      <c r="AQ256" s="1"/>
    </row>
    <row r="257" spans="10:43" x14ac:dyDescent="0.25">
      <c r="J257" s="1"/>
      <c r="K257" s="1"/>
      <c r="L257" s="1"/>
      <c r="M257" s="1"/>
      <c r="N257" s="1"/>
      <c r="O257" s="1"/>
      <c r="P257" s="1"/>
      <c r="Q257" s="1"/>
      <c r="R257" s="1"/>
      <c r="S257" s="1"/>
      <c r="T257" s="1"/>
      <c r="U257" s="1"/>
      <c r="V257" s="1"/>
      <c r="W257" s="1"/>
      <c r="X257" s="1"/>
      <c r="Y257" s="1"/>
      <c r="Z257" s="1"/>
      <c r="AA257" s="1"/>
      <c r="AB257" s="1"/>
      <c r="AC257" s="1"/>
      <c r="AD257" s="1"/>
      <c r="AE257" s="1"/>
      <c r="AQ257" s="1"/>
    </row>
    <row r="258" spans="10:43" x14ac:dyDescent="0.25">
      <c r="J258" s="1"/>
      <c r="K258" s="1"/>
      <c r="L258" s="1"/>
      <c r="M258" s="1"/>
      <c r="N258" s="1"/>
      <c r="O258" s="1"/>
      <c r="P258" s="1"/>
      <c r="Q258" s="1"/>
      <c r="R258" s="1"/>
      <c r="S258" s="1"/>
      <c r="T258" s="1"/>
      <c r="U258" s="1"/>
      <c r="V258" s="1"/>
      <c r="W258" s="1"/>
      <c r="X258" s="1"/>
      <c r="Y258" s="1"/>
      <c r="Z258" s="1"/>
      <c r="AA258" s="1"/>
      <c r="AB258" s="1"/>
      <c r="AC258" s="1"/>
      <c r="AD258" s="1"/>
      <c r="AE258" s="1"/>
      <c r="AQ258" s="1"/>
    </row>
    <row r="259" spans="10:43" x14ac:dyDescent="0.25">
      <c r="J259" s="1"/>
      <c r="K259" s="1"/>
      <c r="L259" s="1"/>
      <c r="M259" s="1"/>
      <c r="N259" s="1"/>
      <c r="O259" s="1"/>
      <c r="P259" s="1"/>
      <c r="Q259" s="1"/>
      <c r="R259" s="1"/>
      <c r="S259" s="1"/>
      <c r="T259" s="1"/>
      <c r="U259" s="1"/>
      <c r="V259" s="1"/>
      <c r="W259" s="1"/>
      <c r="X259" s="1"/>
      <c r="Y259" s="1"/>
      <c r="Z259" s="1"/>
      <c r="AA259" s="1"/>
      <c r="AB259" s="1"/>
      <c r="AC259" s="1"/>
      <c r="AD259" s="1"/>
      <c r="AE259" s="1"/>
      <c r="AQ259" s="1"/>
    </row>
    <row r="260" spans="10:43" x14ac:dyDescent="0.25">
      <c r="J260" s="1"/>
      <c r="K260" s="1"/>
      <c r="L260" s="1"/>
      <c r="M260" s="1"/>
      <c r="N260" s="1"/>
      <c r="O260" s="1"/>
      <c r="P260" s="1"/>
      <c r="Q260" s="1"/>
      <c r="R260" s="1"/>
      <c r="S260" s="1"/>
      <c r="T260" s="1"/>
      <c r="U260" s="1"/>
      <c r="V260" s="1"/>
      <c r="W260" s="1"/>
      <c r="X260" s="1"/>
      <c r="Y260" s="1"/>
      <c r="Z260" s="1"/>
      <c r="AA260" s="1"/>
      <c r="AB260" s="1"/>
      <c r="AC260" s="1"/>
      <c r="AD260" s="1"/>
      <c r="AE260" s="1"/>
      <c r="AQ260" s="1"/>
    </row>
    <row r="261" spans="10:43" x14ac:dyDescent="0.25">
      <c r="J261" s="1"/>
      <c r="K261" s="1"/>
      <c r="L261" s="1"/>
      <c r="M261" s="1"/>
      <c r="N261" s="1"/>
      <c r="O261" s="1"/>
      <c r="P261" s="1"/>
      <c r="Q261" s="1"/>
      <c r="R261" s="1"/>
      <c r="S261" s="1"/>
      <c r="T261" s="1"/>
      <c r="U261" s="1"/>
      <c r="V261" s="1"/>
      <c r="W261" s="1"/>
      <c r="X261" s="1"/>
      <c r="Y261" s="1"/>
      <c r="Z261" s="1"/>
      <c r="AA261" s="1"/>
      <c r="AB261" s="1"/>
      <c r="AC261" s="1"/>
      <c r="AD261" s="1"/>
      <c r="AE261" s="1"/>
      <c r="AQ261" s="1"/>
    </row>
    <row r="262" spans="10:43" x14ac:dyDescent="0.25">
      <c r="J262" s="1"/>
      <c r="K262" s="1"/>
      <c r="L262" s="1"/>
      <c r="M262" s="1"/>
      <c r="N262" s="1"/>
      <c r="O262" s="1"/>
      <c r="P262" s="1"/>
      <c r="Q262" s="1"/>
      <c r="R262" s="1"/>
      <c r="S262" s="1"/>
      <c r="T262" s="1"/>
      <c r="U262" s="1"/>
      <c r="V262" s="1"/>
      <c r="W262" s="1"/>
      <c r="X262" s="1"/>
      <c r="Y262" s="1"/>
      <c r="Z262" s="1"/>
      <c r="AA262" s="1"/>
      <c r="AB262" s="1"/>
      <c r="AC262" s="1"/>
      <c r="AD262" s="1"/>
      <c r="AE262" s="1"/>
      <c r="AQ262" s="1"/>
    </row>
    <row r="263" spans="10:43" x14ac:dyDescent="0.25">
      <c r="J263" s="1"/>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I116"/>
    <mergeCell ref="AE117:AF118"/>
    <mergeCell ref="AH117:AI118"/>
    <mergeCell ref="AK117:AM117"/>
    <mergeCell ref="A118:I118"/>
    <mergeCell ref="AG117:AG118"/>
    <mergeCell ref="AJ117:AJ118"/>
    <mergeCell ref="A119:I119"/>
    <mergeCell ref="AE119:AJ120"/>
    <mergeCell ref="A120:I120"/>
    <mergeCell ref="AK119:AK120"/>
    <mergeCell ref="AL119:AL120"/>
    <mergeCell ref="AM119:AM120"/>
    <mergeCell ref="G121:I121"/>
    <mergeCell ref="AE121:AJ122"/>
    <mergeCell ref="A121:A122"/>
    <mergeCell ref="B121:B122"/>
    <mergeCell ref="G122:I122"/>
    <mergeCell ref="AK121:AK122"/>
    <mergeCell ref="AL121:AL122"/>
    <mergeCell ref="AM121:AM122"/>
    <mergeCell ref="G123:I123"/>
    <mergeCell ref="AE123:AJ124"/>
    <mergeCell ref="A123:A124"/>
    <mergeCell ref="B123:B124"/>
    <mergeCell ref="G124:I124"/>
    <mergeCell ref="AK123:AK124"/>
    <mergeCell ref="AL123:AL124"/>
    <mergeCell ref="AM123:AM124"/>
    <mergeCell ref="G125:I125"/>
    <mergeCell ref="AE125:AJ126"/>
    <mergeCell ref="A125:A126"/>
    <mergeCell ref="B125:B126"/>
    <mergeCell ref="G126:I126"/>
    <mergeCell ref="AK125:AK126"/>
    <mergeCell ref="AL125:AL126"/>
    <mergeCell ref="AM125:AM126"/>
    <mergeCell ref="A127:I127"/>
    <mergeCell ref="AE127:AJ127"/>
    <mergeCell ref="A128:I129"/>
    <mergeCell ref="AE128:AJ129"/>
    <mergeCell ref="AK128:AK129"/>
    <mergeCell ref="AL128:AL129"/>
    <mergeCell ref="AM128:AM129"/>
    <mergeCell ref="A130:I131"/>
    <mergeCell ref="AE130:AJ131"/>
    <mergeCell ref="AK130:AK131"/>
    <mergeCell ref="AL130:AL131"/>
    <mergeCell ref="AM130:AM131"/>
    <mergeCell ref="AE132:AJ133"/>
    <mergeCell ref="B133:I133"/>
    <mergeCell ref="AK132:AK133"/>
    <mergeCell ref="AL132:AL133"/>
    <mergeCell ref="AM132:AM133"/>
    <mergeCell ref="AE134:AJ135"/>
    <mergeCell ref="AK134:AK135"/>
    <mergeCell ref="AL134:AL135"/>
    <mergeCell ref="AM134:AM135"/>
    <mergeCell ref="B136:I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9" sqref="AQ9"/>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118</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20</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c>
      <c r="AB63" s="91">
        <f t="shared" si="3"/>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c>
      <c r="AB114" s="91">
        <f t="shared" si="6"/>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c>
      <c r="AB115" s="111">
        <f t="shared" si="7"/>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20</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39"/>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50"/>
      <c r="AB119" s="150"/>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50"/>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50"/>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50"/>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V26" sqref="V26"/>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119</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22</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v>31</v>
      </c>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c r="L13" s="62"/>
      <c r="M13" s="62"/>
      <c r="N13" s="62"/>
      <c r="O13" s="62"/>
      <c r="P13" s="62"/>
      <c r="Q13" s="62"/>
      <c r="R13" s="62"/>
      <c r="S13" s="62"/>
      <c r="T13" s="62"/>
      <c r="U13" s="62"/>
      <c r="V13" s="62"/>
      <c r="W13" s="62"/>
      <c r="X13" s="62"/>
      <c r="Y13" s="62"/>
      <c r="Z13" s="62"/>
      <c r="AA13" s="62"/>
      <c r="AB13" s="62"/>
      <c r="AC13" s="62"/>
      <c r="AD13" s="62"/>
      <c r="AE13" s="62"/>
      <c r="AF13" s="65">
        <f t="shared" ref="AF13:AF62" si="0">IF(B13="","",COUNTIF(G13:AE13,"x")+COUNTIF(G13:AE13,"h")*0.5)</f>
      </c>
      <c r="AG13" s="66">
        <f t="shared" ref="AG13:AG20" si="1">IF(B13="","",$AJ$117-AF13)</f>
      </c>
      <c r="AH13" s="67"/>
      <c r="AI13" s="64"/>
      <c r="AJ13" s="64"/>
      <c r="AK13" s="64"/>
      <c r="AL13" s="64"/>
      <c r="AM13" s="68"/>
      <c r="AO13" s="3" t="s">
        <v>25</v>
      </c>
      <c r="AQ13" s="77"/>
    </row>
    <row r="14" ht="21.9" customHeight="1" spans="1:43" x14ac:dyDescent="0.25">
      <c r="A14" s="62">
        <v>2</v>
      </c>
      <c r="B14" s="70" t="s">
        <v>26</v>
      </c>
      <c r="C14" s="71"/>
      <c r="D14" s="71"/>
      <c r="E14" s="71"/>
      <c r="F14" s="71"/>
      <c r="G14" s="62"/>
      <c r="H14" s="62"/>
      <c r="I14" s="62"/>
      <c r="J14" s="62"/>
      <c r="K14" s="62"/>
      <c r="L14" s="62"/>
      <c r="M14" s="62"/>
      <c r="N14" s="62"/>
      <c r="O14" s="62"/>
      <c r="P14" s="62"/>
      <c r="Q14" s="62"/>
      <c r="R14" s="62"/>
      <c r="S14" s="62"/>
      <c r="T14" s="62"/>
      <c r="U14" s="62"/>
      <c r="V14" s="62"/>
      <c r="W14" s="62"/>
      <c r="X14" s="62"/>
      <c r="Y14" s="62"/>
      <c r="Z14" s="62"/>
      <c r="AA14" s="62"/>
      <c r="AB14" s="62"/>
      <c r="AC14" s="62"/>
      <c r="AD14" s="62"/>
      <c r="AE14" s="62"/>
      <c r="AF14" s="72">
        <f t="shared" si="0"/>
      </c>
      <c r="AG14" s="73">
        <f t="shared" si="1"/>
      </c>
      <c r="AH14" s="74"/>
      <c r="AI14" s="75"/>
      <c r="AJ14" s="75"/>
      <c r="AK14" s="75"/>
      <c r="AL14" s="75"/>
      <c r="AM14" s="76"/>
      <c r="AO14" s="17" t="s">
        <v>27</v>
      </c>
      <c r="AP14" s="1" t="s">
        <v>28</v>
      </c>
      <c r="AQ14" s="77"/>
    </row>
    <row r="15" ht="21.9" customHeight="1" spans="1:43" x14ac:dyDescent="0.25">
      <c r="A15" s="62">
        <v>3</v>
      </c>
      <c r="B15" s="70" t="s">
        <v>29</v>
      </c>
      <c r="C15" s="71"/>
      <c r="D15" s="71"/>
      <c r="E15" s="71"/>
      <c r="F15" s="71"/>
      <c r="G15" s="62"/>
      <c r="H15" s="62"/>
      <c r="I15" s="62"/>
      <c r="J15" s="62"/>
      <c r="K15" s="62"/>
      <c r="L15" s="62"/>
      <c r="M15" s="62"/>
      <c r="N15" s="62"/>
      <c r="O15" s="62"/>
      <c r="P15" s="62"/>
      <c r="Q15" s="62"/>
      <c r="R15" s="62"/>
      <c r="S15" s="62"/>
      <c r="T15" s="62"/>
      <c r="U15" s="62"/>
      <c r="V15" s="62"/>
      <c r="W15" s="62"/>
      <c r="X15" s="62"/>
      <c r="Y15" s="62"/>
      <c r="Z15" s="62"/>
      <c r="AA15" s="62"/>
      <c r="AB15" s="62"/>
      <c r="AC15" s="62"/>
      <c r="AD15" s="62"/>
      <c r="AE15" s="62"/>
      <c r="AF15" s="72">
        <f t="shared" si="0"/>
      </c>
      <c r="AG15" s="73">
        <f t="shared" si="1"/>
      </c>
      <c r="AH15" s="74"/>
      <c r="AI15" s="75"/>
      <c r="AJ15" s="75"/>
      <c r="AK15" s="75"/>
      <c r="AL15" s="75"/>
      <c r="AM15" s="76"/>
      <c r="AO15" s="17" t="s">
        <v>30</v>
      </c>
      <c r="AP15" s="1" t="s">
        <v>31</v>
      </c>
      <c r="AQ15" s="77"/>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si="0"/>
      </c>
      <c r="AG41" s="73">
        <f t="shared" ref="AG41:AG62" si="2">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0"/>
      </c>
      <c r="AG42" s="73">
        <f t="shared" si="2"/>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0"/>
      </c>
      <c r="AG43" s="73">
        <f t="shared" si="2"/>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0"/>
      </c>
      <c r="AG44" s="73">
        <f t="shared" si="2"/>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0"/>
      </c>
      <c r="AG45" s="73">
        <f t="shared" si="2"/>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0"/>
      </c>
      <c r="AG46" s="73">
        <f t="shared" si="2"/>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0"/>
      </c>
      <c r="AG47" s="73">
        <f t="shared" si="2"/>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0"/>
      </c>
      <c r="AG48" s="73">
        <f t="shared" si="2"/>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0"/>
      </c>
      <c r="AG49" s="73">
        <f t="shared" si="2"/>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0"/>
      </c>
      <c r="AG50" s="73">
        <f t="shared" si="2"/>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0"/>
      </c>
      <c r="AG51" s="73">
        <f t="shared" si="2"/>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0"/>
      </c>
      <c r="AG52" s="73">
        <f t="shared" si="2"/>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0"/>
      </c>
      <c r="AG53" s="73">
        <f t="shared" si="2"/>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0"/>
      </c>
      <c r="AG54" s="73">
        <f t="shared" si="2"/>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0"/>
      </c>
      <c r="AG55" s="73">
        <f t="shared" si="2"/>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0"/>
      </c>
      <c r="AG56" s="73">
        <f t="shared" si="2"/>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0"/>
      </c>
      <c r="AG57" s="73">
        <f t="shared" si="2"/>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0"/>
      </c>
      <c r="AG58" s="73">
        <f t="shared" si="2"/>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0"/>
      </c>
      <c r="AG59" s="73">
        <f t="shared" si="2"/>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0"/>
      </c>
      <c r="AG60" s="73">
        <f t="shared" si="2"/>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0"/>
      </c>
      <c r="AG61" s="73">
        <f t="shared" si="2"/>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0"/>
      </c>
      <c r="AG62" s="73">
        <f t="shared" si="2"/>
      </c>
      <c r="AH62" s="74"/>
      <c r="AI62" s="75"/>
      <c r="AJ62" s="86"/>
      <c r="AK62" s="86"/>
      <c r="AL62" s="86"/>
      <c r="AM62" s="87"/>
      <c r="AQ62" s="77"/>
    </row>
    <row r="63" ht="21.9" customHeight="1" spans="1:43" x14ac:dyDescent="0.25">
      <c r="A63" s="88"/>
      <c r="B63" s="89" t="s">
        <v>36</v>
      </c>
      <c r="C63" s="89"/>
      <c r="D63" s="89"/>
      <c r="E63" s="89"/>
      <c r="F63" s="89"/>
      <c r="G63" s="90">
        <f t="shared" ref="G63:AE63" si="3">IF(G10="","",COUNTA($B$13:$B$62)-(COUNTIF(G13:G62,"x")*1+COUNTIF(G13:G62,"h")*0.5))</f>
        <v>0</v>
      </c>
      <c r="H63" s="91">
        <f t="shared" si="3"/>
        <v>0</v>
      </c>
      <c r="I63" s="91">
        <f t="shared" si="3"/>
        <v>0</v>
      </c>
      <c r="J63" s="91">
        <f t="shared" si="3"/>
        <v>0</v>
      </c>
      <c r="K63" s="92">
        <f t="shared" si="3"/>
        <v>0</v>
      </c>
      <c r="L63" s="90">
        <f t="shared" si="3"/>
        <v>0</v>
      </c>
      <c r="M63" s="91">
        <f t="shared" si="3"/>
        <v>0</v>
      </c>
      <c r="N63" s="91">
        <f t="shared" si="3"/>
        <v>0</v>
      </c>
      <c r="O63" s="91">
        <f t="shared" si="3"/>
        <v>0</v>
      </c>
      <c r="P63" s="92">
        <f t="shared" si="3"/>
        <v>0</v>
      </c>
      <c r="Q63" s="90">
        <f t="shared" si="3"/>
        <v>0</v>
      </c>
      <c r="R63" s="91">
        <f t="shared" si="3"/>
        <v>0</v>
      </c>
      <c r="S63" s="91">
        <f t="shared" si="3"/>
        <v>0</v>
      </c>
      <c r="T63" s="91">
        <f t="shared" si="3"/>
        <v>0</v>
      </c>
      <c r="U63" s="92">
        <f t="shared" si="3"/>
        <v>0</v>
      </c>
      <c r="V63" s="90">
        <f t="shared" si="3"/>
        <v>0</v>
      </c>
      <c r="W63" s="91">
        <f t="shared" si="3"/>
        <v>0</v>
      </c>
      <c r="X63" s="91">
        <f t="shared" si="3"/>
        <v>0</v>
      </c>
      <c r="Y63" s="91">
        <f t="shared" si="3"/>
        <v>0</v>
      </c>
      <c r="Z63" s="92">
        <f t="shared" si="3"/>
        <v>0</v>
      </c>
      <c r="AA63" s="90">
        <f t="shared" si="3"/>
        <v>0</v>
      </c>
      <c r="AB63" s="91">
        <f t="shared" si="3"/>
        <v>0</v>
      </c>
      <c r="AC63" s="91">
        <f t="shared" si="3"/>
      </c>
      <c r="AD63" s="91">
        <f t="shared" si="3"/>
      </c>
      <c r="AE63" s="92">
        <f t="shared" si="3"/>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c r="L64" s="62"/>
      <c r="M64" s="62"/>
      <c r="N64" s="62"/>
      <c r="O64" s="62"/>
      <c r="P64" s="62"/>
      <c r="Q64" s="62"/>
      <c r="R64" s="62"/>
      <c r="S64" s="62"/>
      <c r="T64" s="62"/>
      <c r="U64" s="62"/>
      <c r="V64" s="62"/>
      <c r="W64" s="62"/>
      <c r="X64" s="62"/>
      <c r="Y64" s="62"/>
      <c r="Z64" s="62"/>
      <c r="AA64" s="62"/>
      <c r="AB64" s="62"/>
      <c r="AC64" s="62"/>
      <c r="AD64" s="62"/>
      <c r="AE64" s="62"/>
      <c r="AF64" s="65">
        <f t="shared" ref="AF64:AF113" si="4">IF(B64="","",COUNTIF(G64:AE64,"x")+COUNTIF(G64:AE64,"h")*0.5)</f>
      </c>
      <c r="AG64" s="66">
        <f>IF(B64="","",$AJ$117-AF64)</f>
      </c>
      <c r="AH64" s="67"/>
      <c r="AI64" s="64"/>
      <c r="AJ64" s="64"/>
      <c r="AK64" s="64"/>
      <c r="AL64" s="64"/>
      <c r="AM64" s="68"/>
      <c r="AQ64" s="77"/>
    </row>
    <row r="65" ht="21.9" customHeight="1" spans="1:43" x14ac:dyDescent="0.25">
      <c r="A65" s="62">
        <v>2</v>
      </c>
      <c r="B65" s="70" t="s">
        <v>38</v>
      </c>
      <c r="C65" s="75"/>
      <c r="D65" s="75"/>
      <c r="E65" s="75"/>
      <c r="F65" s="75"/>
      <c r="G65" s="62"/>
      <c r="H65" s="62"/>
      <c r="I65" s="62"/>
      <c r="J65" s="62"/>
      <c r="K65" s="62"/>
      <c r="L65" s="62"/>
      <c r="M65" s="62"/>
      <c r="N65" s="62"/>
      <c r="O65" s="62"/>
      <c r="P65" s="62"/>
      <c r="Q65" s="62"/>
      <c r="R65" s="62"/>
      <c r="S65" s="62"/>
      <c r="T65" s="62"/>
      <c r="U65" s="62"/>
      <c r="V65" s="62"/>
      <c r="W65" s="62"/>
      <c r="X65" s="62"/>
      <c r="Y65" s="62"/>
      <c r="Z65" s="62"/>
      <c r="AA65" s="62"/>
      <c r="AB65" s="62"/>
      <c r="AC65" s="62"/>
      <c r="AD65" s="62"/>
      <c r="AE65" s="62"/>
      <c r="AF65" s="72">
        <f t="shared" si="4"/>
      </c>
      <c r="AG65" s="73">
        <f>IF(B65="","",$AJ$117-AF65)</f>
      </c>
      <c r="AH65" s="74"/>
      <c r="AI65" s="75"/>
      <c r="AJ65" s="75"/>
      <c r="AK65" s="75"/>
      <c r="AL65" s="75"/>
      <c r="AM65" s="76"/>
      <c r="AQ65" s="77"/>
    </row>
    <row r="66" ht="21.9" customHeight="1" spans="1:43" x14ac:dyDescent="0.25">
      <c r="A66" s="62">
        <v>3</v>
      </c>
      <c r="B66" s="70" t="s">
        <v>39</v>
      </c>
      <c r="C66" s="75"/>
      <c r="D66" s="75"/>
      <c r="E66" s="75"/>
      <c r="F66" s="75"/>
      <c r="G66" s="62"/>
      <c r="H66" s="62"/>
      <c r="I66" s="62"/>
      <c r="J66" s="62"/>
      <c r="K66" s="62"/>
      <c r="L66" s="62"/>
      <c r="M66" s="62"/>
      <c r="N66" s="62"/>
      <c r="O66" s="62"/>
      <c r="P66" s="62"/>
      <c r="Q66" s="62"/>
      <c r="R66" s="62"/>
      <c r="S66" s="62"/>
      <c r="T66" s="62"/>
      <c r="U66" s="62"/>
      <c r="V66" s="62"/>
      <c r="W66" s="62"/>
      <c r="X66" s="62"/>
      <c r="Y66" s="62"/>
      <c r="Z66" s="62"/>
      <c r="AA66" s="62"/>
      <c r="AB66" s="62"/>
      <c r="AC66" s="62"/>
      <c r="AD66" s="62"/>
      <c r="AE66" s="62"/>
      <c r="AF66" s="72">
        <f t="shared" si="4"/>
      </c>
      <c r="AG66" s="73">
        <f>IF(B66="","",$AJ$117-AF66)</f>
      </c>
      <c r="AH66" s="74"/>
      <c r="AI66" s="75"/>
      <c r="AJ66" s="75"/>
      <c r="AK66" s="75"/>
      <c r="AL66" s="75"/>
      <c r="AM66" s="76"/>
      <c r="AQ66" s="77"/>
    </row>
    <row r="67" ht="21.9" customHeight="1" spans="1:43" x14ac:dyDescent="0.25">
      <c r="A67" s="62">
        <v>4</v>
      </c>
      <c r="B67" s="70" t="s">
        <v>40</v>
      </c>
      <c r="C67" s="75"/>
      <c r="D67" s="75"/>
      <c r="E67" s="75"/>
      <c r="F67" s="75"/>
      <c r="G67" s="62"/>
      <c r="H67" s="62"/>
      <c r="I67" s="62"/>
      <c r="J67" s="62"/>
      <c r="K67" s="62"/>
      <c r="L67" s="62"/>
      <c r="M67" s="62"/>
      <c r="N67" s="62"/>
      <c r="O67" s="62"/>
      <c r="P67" s="62"/>
      <c r="Q67" s="62"/>
      <c r="R67" s="62"/>
      <c r="S67" s="62"/>
      <c r="T67" s="62"/>
      <c r="U67" s="62"/>
      <c r="V67" s="62"/>
      <c r="W67" s="62"/>
      <c r="X67" s="62"/>
      <c r="Y67" s="62"/>
      <c r="Z67" s="62"/>
      <c r="AA67" s="62"/>
      <c r="AB67" s="62"/>
      <c r="AC67" s="62"/>
      <c r="AD67" s="62"/>
      <c r="AE67" s="62"/>
      <c r="AF67" s="72">
        <f t="shared" si="4"/>
      </c>
      <c r="AG67" s="73">
        <f>IF(B67="","",$AJ$117-AF67)</f>
      </c>
      <c r="AH67" s="74"/>
      <c r="AI67" s="75"/>
      <c r="AJ67" s="75"/>
      <c r="AK67" s="75"/>
      <c r="AL67" s="75"/>
      <c r="AM67" s="76"/>
      <c r="AQ67" s="77"/>
    </row>
    <row r="68" ht="21.9" customHeight="1" spans="1:43" x14ac:dyDescent="0.25">
      <c r="A68" s="62">
        <v>5</v>
      </c>
      <c r="B68" s="70" t="s">
        <v>41</v>
      </c>
      <c r="C68" s="75"/>
      <c r="D68" s="75"/>
      <c r="E68" s="75"/>
      <c r="F68" s="75"/>
      <c r="G68" s="62"/>
      <c r="H68" s="62"/>
      <c r="I68" s="62"/>
      <c r="J68" s="62"/>
      <c r="K68" s="62"/>
      <c r="L68" s="62"/>
      <c r="M68" s="62"/>
      <c r="N68" s="62"/>
      <c r="O68" s="62"/>
      <c r="P68" s="62"/>
      <c r="Q68" s="62"/>
      <c r="R68" s="62"/>
      <c r="S68" s="62"/>
      <c r="T68" s="62"/>
      <c r="U68" s="62"/>
      <c r="V68" s="62"/>
      <c r="W68" s="62"/>
      <c r="X68" s="62"/>
      <c r="Y68" s="62"/>
      <c r="Z68" s="62"/>
      <c r="AA68" s="62"/>
      <c r="AB68" s="62"/>
      <c r="AC68" s="62"/>
      <c r="AD68" s="62"/>
      <c r="AE68" s="62"/>
      <c r="AF68" s="72"/>
      <c r="AG68" s="73"/>
      <c r="AH68" s="74"/>
      <c r="AI68" s="75"/>
      <c r="AJ68" s="75"/>
      <c r="AK68" s="75"/>
      <c r="AL68" s="75"/>
      <c r="AM68" s="76"/>
      <c r="AQ68" s="77"/>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si="4"/>
      </c>
      <c r="AG88" s="73">
        <f t="shared" ref="AG88:AG113" si="5">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4"/>
      </c>
      <c r="AG89" s="73">
        <f t="shared" si="5"/>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4"/>
      </c>
      <c r="AG90" s="73">
        <f t="shared" si="5"/>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4"/>
      </c>
      <c r="AG91" s="73">
        <f t="shared" si="5"/>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4"/>
      </c>
      <c r="AG92" s="73">
        <f t="shared" si="5"/>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4"/>
      </c>
      <c r="AG93" s="73">
        <f t="shared" si="5"/>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4"/>
      </c>
      <c r="AG94" s="73">
        <f t="shared" si="5"/>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4"/>
      </c>
      <c r="AG95" s="73">
        <f t="shared" si="5"/>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4"/>
      </c>
      <c r="AG96" s="73">
        <f t="shared" si="5"/>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4"/>
      </c>
      <c r="AG97" s="73">
        <f t="shared" si="5"/>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4"/>
      </c>
      <c r="AG98" s="73">
        <f t="shared" si="5"/>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4"/>
      </c>
      <c r="AG99" s="73">
        <f t="shared" si="5"/>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4"/>
      </c>
      <c r="AG100" s="73">
        <f t="shared" si="5"/>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4"/>
      </c>
      <c r="AG101" s="73">
        <f t="shared" si="5"/>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4"/>
      </c>
      <c r="AG102" s="73">
        <f t="shared" si="5"/>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4"/>
      </c>
      <c r="AG103" s="73">
        <f t="shared" si="5"/>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4"/>
      </c>
      <c r="AG104" s="73">
        <f t="shared" si="5"/>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4"/>
      </c>
      <c r="AG105" s="73">
        <f t="shared" si="5"/>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4"/>
      </c>
      <c r="AG106" s="73">
        <f t="shared" si="5"/>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4"/>
      </c>
      <c r="AG107" s="73">
        <f t="shared" si="5"/>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4"/>
      </c>
      <c r="AG108" s="73">
        <f t="shared" si="5"/>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4"/>
      </c>
      <c r="AG109" s="73">
        <f t="shared" si="5"/>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4"/>
      </c>
      <c r="AG110" s="73">
        <f t="shared" si="5"/>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4"/>
      </c>
      <c r="AG111" s="73">
        <f t="shared" si="5"/>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4"/>
      </c>
      <c r="AG112" s="73">
        <f t="shared" si="5"/>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4"/>
      </c>
      <c r="AG113" s="101">
        <f t="shared" si="5"/>
      </c>
      <c r="AH113" s="102"/>
      <c r="AI113" s="86"/>
      <c r="AJ113" s="86"/>
      <c r="AK113" s="86"/>
      <c r="AL113" s="86"/>
      <c r="AM113" s="87"/>
      <c r="AQ113" s="77"/>
    </row>
    <row r="114" ht="21.9" customHeight="1" spans="1:43" x14ac:dyDescent="0.25">
      <c r="A114" s="103" t="s">
        <v>42</v>
      </c>
      <c r="B114" s="89"/>
      <c r="C114" s="89"/>
      <c r="D114" s="89"/>
      <c r="E114" s="89"/>
      <c r="F114" s="89"/>
      <c r="G114" s="104">
        <f t="shared" ref="G114:AE114" si="6">IF(G10="","",COUNTA($B$64:$B$113)-(COUNTIF(G64:G113,"x")+COUNTIF(G64:G113,"h")*0.5))</f>
        <v>0</v>
      </c>
      <c r="H114" s="91">
        <f t="shared" si="6"/>
        <v>0</v>
      </c>
      <c r="I114" s="91">
        <f t="shared" si="6"/>
        <v>0</v>
      </c>
      <c r="J114" s="91">
        <f t="shared" si="6"/>
        <v>0</v>
      </c>
      <c r="K114" s="92">
        <f t="shared" si="6"/>
        <v>0</v>
      </c>
      <c r="L114" s="104">
        <f t="shared" si="6"/>
        <v>0</v>
      </c>
      <c r="M114" s="91">
        <f t="shared" si="6"/>
        <v>0</v>
      </c>
      <c r="N114" s="91">
        <f t="shared" si="6"/>
        <v>0</v>
      </c>
      <c r="O114" s="91">
        <f t="shared" si="6"/>
        <v>0</v>
      </c>
      <c r="P114" s="92">
        <f t="shared" si="6"/>
        <v>0</v>
      </c>
      <c r="Q114" s="104">
        <f t="shared" si="6"/>
        <v>0</v>
      </c>
      <c r="R114" s="91">
        <f t="shared" si="6"/>
        <v>0</v>
      </c>
      <c r="S114" s="91">
        <f t="shared" si="6"/>
        <v>0</v>
      </c>
      <c r="T114" s="91">
        <f t="shared" si="6"/>
        <v>0</v>
      </c>
      <c r="U114" s="92">
        <f t="shared" si="6"/>
        <v>0</v>
      </c>
      <c r="V114" s="104">
        <f t="shared" si="6"/>
        <v>0</v>
      </c>
      <c r="W114" s="91">
        <f t="shared" si="6"/>
        <v>0</v>
      </c>
      <c r="X114" s="91">
        <f t="shared" si="6"/>
        <v>0</v>
      </c>
      <c r="Y114" s="91">
        <f t="shared" si="6"/>
        <v>0</v>
      </c>
      <c r="Z114" s="92">
        <f t="shared" si="6"/>
        <v>0</v>
      </c>
      <c r="AA114" s="104">
        <f t="shared" si="6"/>
        <v>0</v>
      </c>
      <c r="AB114" s="91">
        <f t="shared" si="6"/>
        <v>0</v>
      </c>
      <c r="AC114" s="91">
        <f t="shared" si="6"/>
      </c>
      <c r="AD114" s="91">
        <f t="shared" si="6"/>
      </c>
      <c r="AE114" s="92">
        <f t="shared" si="6"/>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7">IF(G10="","",G63+G114)</f>
        <v>0</v>
      </c>
      <c r="H115" s="111">
        <f t="shared" si="7"/>
        <v>0</v>
      </c>
      <c r="I115" s="111">
        <f t="shared" si="7"/>
        <v>0</v>
      </c>
      <c r="J115" s="111">
        <f t="shared" si="7"/>
        <v>0</v>
      </c>
      <c r="K115" s="112">
        <f t="shared" si="7"/>
        <v>0</v>
      </c>
      <c r="L115" s="110">
        <f t="shared" si="7"/>
        <v>0</v>
      </c>
      <c r="M115" s="111">
        <f t="shared" si="7"/>
        <v>0</v>
      </c>
      <c r="N115" s="111">
        <f t="shared" si="7"/>
        <v>0</v>
      </c>
      <c r="O115" s="111">
        <f t="shared" si="7"/>
        <v>0</v>
      </c>
      <c r="P115" s="112">
        <f t="shared" si="7"/>
        <v>0</v>
      </c>
      <c r="Q115" s="110">
        <f t="shared" si="7"/>
        <v>0</v>
      </c>
      <c r="R115" s="111">
        <f t="shared" si="7"/>
        <v>0</v>
      </c>
      <c r="S115" s="111">
        <f t="shared" si="7"/>
        <v>0</v>
      </c>
      <c r="T115" s="111">
        <f t="shared" si="7"/>
        <v>0</v>
      </c>
      <c r="U115" s="112">
        <f t="shared" si="7"/>
        <v>0</v>
      </c>
      <c r="V115" s="110">
        <f t="shared" si="7"/>
        <v>0</v>
      </c>
      <c r="W115" s="111">
        <f t="shared" si="7"/>
        <v>0</v>
      </c>
      <c r="X115" s="111">
        <f t="shared" si="7"/>
        <v>0</v>
      </c>
      <c r="Y115" s="111">
        <f t="shared" si="7"/>
        <v>0</v>
      </c>
      <c r="Z115" s="112">
        <f t="shared" si="7"/>
        <v>0</v>
      </c>
      <c r="AA115" s="110">
        <f t="shared" si="7"/>
        <v>0</v>
      </c>
      <c r="AB115" s="111">
        <f t="shared" si="7"/>
        <v>0</v>
      </c>
      <c r="AC115" s="111">
        <f t="shared" si="7"/>
      </c>
      <c r="AD115" s="111">
        <f t="shared" si="7"/>
      </c>
      <c r="AE115" s="112">
        <f t="shared" si="7"/>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22</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
      <c r="AC119" s="140"/>
      <c r="AE119" s="151" t="s">
        <v>53</v>
      </c>
      <c r="AF119" s="152"/>
      <c r="AG119" s="152"/>
      <c r="AH119" s="152"/>
      <c r="AI119" s="152"/>
      <c r="AJ119" s="153"/>
      <c r="AK119" s="154"/>
      <c r="AL119" s="154"/>
      <c r="AM119" s="155">
        <f>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AK121+AL121</f>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AK123+AL123</f>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AK123/AK119</f>
        <v>#DIV/0!</v>
      </c>
      <c r="AL125" s="180" t="e">
        <f>AL123/AL119</f>
        <v>#DIV/0!</v>
      </c>
      <c r="AM125" s="181" t="e">
        <f>AM123/AM119</f>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AK127/AK123</f>
        <v>#DIV/0!</v>
      </c>
      <c r="AL128" s="189" t="e">
        <f>AL127/AL123</f>
        <v>#DIV/0!</v>
      </c>
      <c r="AM128" s="190" t="e">
        <f>AM127/AM123</f>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AK132+AL132</f>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E134" s="196" t="s">
        <v>94</v>
      </c>
      <c r="AF134" s="197"/>
      <c r="AG134" s="197"/>
      <c r="AH134" s="197"/>
      <c r="AI134" s="197"/>
      <c r="AJ134" s="197"/>
      <c r="AK134" s="176">
        <f>COUNTIF(AH13:AI62,"Transferred Out")</f>
        <v>0</v>
      </c>
      <c r="AL134" s="176">
        <f>COUNTIF(AH64:AI113,"Transferred Out")</f>
        <v>0</v>
      </c>
      <c r="AM134" s="159">
        <f>AK134+AL134</f>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B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B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B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B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B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B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B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B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B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B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B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B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B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B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B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B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B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B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B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B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B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B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B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B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B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B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B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B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B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B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B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B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B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B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B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B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B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B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B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B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B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B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B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B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B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B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B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B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B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B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B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B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B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B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B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B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B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B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B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B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B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B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B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B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B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B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B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B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B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B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B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B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B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B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B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B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B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B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B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B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B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B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B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B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B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B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B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B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B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B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B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B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B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B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B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B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B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B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B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B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B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B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B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B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B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B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B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B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B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B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B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B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B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B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B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B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B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B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B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B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B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B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7">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5" sqref="AR25"/>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112</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c r="H10" s="35"/>
      <c r="I10" s="35"/>
      <c r="J10" s="35"/>
      <c r="K10" s="36">
        <v>1</v>
      </c>
      <c r="L10" s="37">
        <v>4</v>
      </c>
      <c r="M10" s="35">
        <v>5</v>
      </c>
      <c r="N10" s="35">
        <v>6</v>
      </c>
      <c r="O10" s="35">
        <v>7</v>
      </c>
      <c r="P10" s="38">
        <v>8</v>
      </c>
      <c r="Q10" s="34">
        <v>11</v>
      </c>
      <c r="R10" s="35">
        <v>12</v>
      </c>
      <c r="S10" s="35">
        <v>13</v>
      </c>
      <c r="T10" s="35">
        <v>14</v>
      </c>
      <c r="U10" s="36">
        <v>15</v>
      </c>
      <c r="V10" s="37">
        <v>18</v>
      </c>
      <c r="W10" s="35">
        <v>19</v>
      </c>
      <c r="X10" s="35">
        <v>20</v>
      </c>
      <c r="Y10" s="35">
        <v>21</v>
      </c>
      <c r="Z10" s="38">
        <v>22</v>
      </c>
      <c r="AA10" s="34">
        <v>25</v>
      </c>
      <c r="AB10" s="35">
        <v>26</v>
      </c>
      <c r="AC10" s="35">
        <v>27</v>
      </c>
      <c r="AD10" s="35">
        <v>28</v>
      </c>
      <c r="AE10" s="36">
        <v>29</v>
      </c>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c r="I13" s="62"/>
      <c r="J13" s="62"/>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t="s">
        <v>24</v>
      </c>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c r="I14" s="62"/>
      <c r="J14" s="62"/>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t="s">
        <v>24</v>
      </c>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c r="I15" s="62"/>
      <c r="J15" s="62"/>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t="s">
        <v>24</v>
      </c>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c>
      <c r="I63" s="91">
        <f t="shared" si="4"/>
      </c>
      <c r="J63" s="91">
        <f t="shared" si="4"/>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v>0</v>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c r="I64" s="62"/>
      <c r="J64" s="62"/>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t="s">
        <v>24</v>
      </c>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c r="I65" s="62"/>
      <c r="J65" s="62"/>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t="s">
        <v>24</v>
      </c>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c r="I66" s="62"/>
      <c r="J66" s="62"/>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t="s">
        <v>24</v>
      </c>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c r="I67" s="62"/>
      <c r="J67" s="62"/>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t="s">
        <v>24</v>
      </c>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c r="I68" s="62"/>
      <c r="J68" s="62"/>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t="s">
        <v>24</v>
      </c>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c>
      <c r="I114" s="91">
        <f t="shared" si="9"/>
      </c>
      <c r="J114" s="91">
        <f t="shared" si="9"/>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v>0</v>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c>
      <c r="I115" s="111">
        <f t="shared" si="10"/>
      </c>
      <c r="J115" s="111">
        <f t="shared" si="10"/>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v>0</v>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19"/>
      <c r="I116" s="119"/>
      <c r="J116" s="119"/>
      <c r="K116" s="1"/>
      <c r="L116" s="1"/>
      <c r="M116" s="1"/>
      <c r="N116" s="1"/>
      <c r="O116" s="1"/>
      <c r="P116" s="1"/>
      <c r="Q116" s="1"/>
      <c r="R116" s="1"/>
      <c r="S116" s="1"/>
      <c r="T116" s="1"/>
      <c r="U116" s="1"/>
      <c r="V116" s="1"/>
      <c r="W116" s="1"/>
      <c r="X116" s="1"/>
      <c r="Y116" s="1"/>
      <c r="Z116" s="1"/>
      <c r="AA116" s="1"/>
      <c r="AB116" s="1"/>
      <c r="AC116" s="1"/>
      <c r="AD116" s="1"/>
      <c r="AE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37"/>
      <c r="H118" s="137"/>
      <c r="I118" s="137"/>
      <c r="J118" s="137"/>
      <c r="K118" s="1"/>
      <c r="L118" s="1"/>
      <c r="M118" s="1"/>
      <c r="N118" s="1"/>
      <c r="O118" s="1"/>
      <c r="P118" s="1"/>
      <c r="Q118" s="1"/>
      <c r="R118" s="122"/>
      <c r="S118" s="123"/>
      <c r="T118" s="138" t="s">
        <v>50</v>
      </c>
      <c r="U118" s="1"/>
      <c r="V118" s="1"/>
      <c r="W118" s="1"/>
      <c r="X118" s="1"/>
      <c r="Y118" s="1"/>
      <c r="Z118" s="1"/>
      <c r="AA118" s="1"/>
      <c r="AB118" s="1"/>
      <c r="AC118" s="140"/>
      <c r="AD118" s="1"/>
      <c r="AE118" s="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37"/>
      <c r="I119" s="137"/>
      <c r="J119" s="137"/>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37"/>
      <c r="I120" s="137"/>
      <c r="J120" s="137"/>
      <c r="K120" s="1"/>
      <c r="L120" s="1"/>
      <c r="M120" s="1"/>
      <c r="N120" s="1"/>
      <c r="O120" s="1"/>
      <c r="P120" s="1"/>
      <c r="Q120" s="1"/>
      <c r="R120" s="122"/>
      <c r="S120" s="123"/>
      <c r="T120" s="1"/>
      <c r="U120" s="1"/>
      <c r="V120" s="1"/>
      <c r="W120" s="1"/>
      <c r="X120" s="1"/>
      <c r="Y120" s="1"/>
      <c r="Z120" s="1"/>
      <c r="AA120" s="1"/>
      <c r="AB120" s="1"/>
      <c r="AC120" s="140"/>
      <c r="AD120" s="1"/>
      <c r="AE120" s="1"/>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62"/>
      <c r="I121" s="162"/>
      <c r="J121" s="162"/>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70"/>
      <c r="I122" s="170"/>
      <c r="J122" s="170"/>
      <c r="K122" s="1"/>
      <c r="L122" s="1"/>
      <c r="M122" s="1"/>
      <c r="N122" s="1"/>
      <c r="O122" s="1"/>
      <c r="P122" s="1"/>
      <c r="Q122" s="1"/>
      <c r="R122" s="1"/>
      <c r="S122" s="123"/>
      <c r="T122" s="164" t="s">
        <v>62</v>
      </c>
      <c r="U122" s="3"/>
      <c r="V122" s="3"/>
      <c r="W122" s="3"/>
      <c r="X122" s="3"/>
      <c r="Y122" s="3"/>
      <c r="Z122" s="1"/>
      <c r="AA122" s="1"/>
      <c r="AB122" s="165"/>
      <c r="AC122" s="140"/>
      <c r="AD122" s="1"/>
      <c r="AE122" s="1"/>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72"/>
      <c r="I123" s="172"/>
      <c r="J123" s="172"/>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70"/>
      <c r="I124" s="170"/>
      <c r="J124" s="170"/>
      <c r="K124" s="1"/>
      <c r="L124" s="1"/>
      <c r="M124" s="1"/>
      <c r="N124" s="1"/>
      <c r="O124" s="1"/>
      <c r="P124" s="1"/>
      <c r="Q124" s="122"/>
      <c r="R124" s="122"/>
      <c r="S124" s="123"/>
      <c r="T124" s="174" t="s">
        <v>69</v>
      </c>
      <c r="U124" s="1"/>
      <c r="V124" s="1"/>
      <c r="W124" s="1"/>
      <c r="X124" s="1"/>
      <c r="Y124" s="3"/>
      <c r="Z124" s="1"/>
      <c r="AA124" s="1"/>
      <c r="AB124" s="165"/>
      <c r="AC124" s="140"/>
      <c r="AD124" s="1"/>
      <c r="AE124" s="1"/>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62"/>
      <c r="I125" s="162"/>
      <c r="J125" s="162"/>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63"/>
      <c r="I126" s="163"/>
      <c r="J126" s="163"/>
      <c r="K126" s="1"/>
      <c r="L126" s="1"/>
      <c r="M126" s="1"/>
      <c r="N126" s="1"/>
      <c r="O126" s="1"/>
      <c r="P126" s="1"/>
      <c r="Q126" s="1"/>
      <c r="R126" s="1"/>
      <c r="S126" s="123"/>
      <c r="T126" s="174" t="s">
        <v>76</v>
      </c>
      <c r="U126" s="1"/>
      <c r="V126" s="1"/>
      <c r="W126" s="1"/>
      <c r="X126" s="1"/>
      <c r="Y126" s="1"/>
      <c r="Z126" s="1"/>
      <c r="AA126" s="1"/>
      <c r="AB126" s="165"/>
      <c r="AC126" s="140"/>
      <c r="AD126" s="1"/>
      <c r="AE126" s="1"/>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37"/>
      <c r="I127" s="137"/>
      <c r="J127" s="137"/>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88"/>
      <c r="I128" s="188"/>
      <c r="J128" s="188"/>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88"/>
      <c r="I129" s="188"/>
      <c r="J129" s="188"/>
      <c r="K129" s="1"/>
      <c r="L129" s="1"/>
      <c r="M129" s="1"/>
      <c r="N129" s="1"/>
      <c r="O129" s="1"/>
      <c r="P129" s="1"/>
      <c r="Q129" s="1"/>
      <c r="R129" s="173"/>
      <c r="S129" s="123"/>
      <c r="T129" s="174" t="s">
        <v>82</v>
      </c>
      <c r="U129" s="1"/>
      <c r="V129" s="1"/>
      <c r="W129" s="1"/>
      <c r="X129" s="1"/>
      <c r="Y129" s="1"/>
      <c r="Z129" s="1"/>
      <c r="AA129" s="1"/>
      <c r="AB129" s="165"/>
      <c r="AC129" s="140"/>
      <c r="AD129" s="1"/>
      <c r="AE129" s="1"/>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91"/>
      <c r="I130" s="191"/>
      <c r="J130" s="19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91"/>
      <c r="I131" s="191"/>
      <c r="J131" s="191"/>
      <c r="K131" s="1"/>
      <c r="L131" s="1"/>
      <c r="M131" s="1"/>
      <c r="N131" s="1"/>
      <c r="O131" s="1"/>
      <c r="P131" s="1"/>
      <c r="Q131" s="1"/>
      <c r="R131" s="1"/>
      <c r="S131" s="123"/>
      <c r="T131" s="174" t="s">
        <v>86</v>
      </c>
      <c r="U131" s="1"/>
      <c r="V131" s="1"/>
      <c r="W131" s="1"/>
      <c r="X131" s="1"/>
      <c r="Y131" s="1"/>
      <c r="Z131" s="1"/>
      <c r="AA131" s="1"/>
      <c r="AB131" s="3"/>
      <c r="AC131" s="140"/>
      <c r="AD131" s="1"/>
      <c r="AE131" s="1"/>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91"/>
      <c r="I133" s="191"/>
      <c r="J133" s="191"/>
      <c r="K133" s="1"/>
      <c r="L133" s="1"/>
      <c r="M133" s="1"/>
      <c r="N133" s="1"/>
      <c r="O133" s="1"/>
      <c r="P133" s="1"/>
      <c r="Q133" s="1"/>
      <c r="R133" s="122"/>
      <c r="S133" s="123"/>
      <c r="T133" s="174" t="s">
        <v>92</v>
      </c>
      <c r="U133" s="1"/>
      <c r="V133" s="1"/>
      <c r="W133" s="1"/>
      <c r="X133" s="1"/>
      <c r="Y133" s="1"/>
      <c r="Z133" s="1"/>
      <c r="AA133" s="1"/>
      <c r="AB133" s="3"/>
      <c r="AC133" s="140"/>
      <c r="AD133" s="1"/>
      <c r="AE133" s="1"/>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
      <c r="AF135" s="197"/>
      <c r="AG135" s="197"/>
      <c r="AH135" s="197"/>
      <c r="AI135" s="197"/>
      <c r="AJ135" s="197"/>
      <c r="AK135" s="176"/>
      <c r="AL135" s="176"/>
      <c r="AM135" s="159"/>
      <c r="AQ135" s="1"/>
    </row>
    <row r="136" ht="15" customHeight="1" spans="2:43" x14ac:dyDescent="0.25">
      <c r="B136" s="200"/>
      <c r="C136" s="200"/>
      <c r="D136" s="200"/>
      <c r="E136" s="200"/>
      <c r="F136" s="200"/>
      <c r="G136" s="200"/>
      <c r="H136" s="200"/>
      <c r="I136" s="200"/>
      <c r="J136" s="200"/>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200"/>
      <c r="I137" s="200"/>
      <c r="J137" s="200"/>
      <c r="K137" s="1"/>
      <c r="L137" s="1"/>
      <c r="M137" s="1"/>
      <c r="N137" s="1"/>
      <c r="O137" s="1"/>
      <c r="P137" s="1"/>
      <c r="Q137" s="1"/>
      <c r="R137" s="1"/>
      <c r="S137" s="123"/>
      <c r="T137" s="174" t="s">
        <v>98</v>
      </c>
      <c r="U137" s="1"/>
      <c r="V137" s="1"/>
      <c r="W137" s="1"/>
      <c r="X137" s="1"/>
      <c r="Y137" s="1"/>
      <c r="Z137" s="1"/>
      <c r="AA137" s="1"/>
      <c r="AB137" s="1"/>
      <c r="AC137" s="140"/>
      <c r="AD137" s="1"/>
      <c r="AE137" s="1"/>
      <c r="AF137" s="148"/>
      <c r="AG137" s="148"/>
      <c r="AH137" s="148"/>
      <c r="AI137" s="148"/>
      <c r="AJ137" s="148"/>
      <c r="AK137" s="202"/>
      <c r="AL137" s="202"/>
      <c r="AM137" s="203"/>
      <c r="AQ137" s="1"/>
    </row>
    <row r="138" ht="14.25" customHeight="1" spans="2:43" x14ac:dyDescent="0.25">
      <c r="B138" s="3"/>
      <c r="C138" s="3"/>
      <c r="D138" s="3"/>
      <c r="E138" s="3"/>
      <c r="F138" s="3"/>
      <c r="K138" s="1"/>
      <c r="L138" s="1"/>
      <c r="M138" s="1"/>
      <c r="N138" s="1"/>
      <c r="O138" s="1"/>
      <c r="P138" s="1"/>
      <c r="Q138" s="1"/>
      <c r="R138" s="1"/>
      <c r="S138" s="123"/>
      <c r="T138" s="174" t="s">
        <v>99</v>
      </c>
      <c r="U138" s="1"/>
      <c r="V138" s="1"/>
      <c r="W138" s="1"/>
      <c r="X138" s="1"/>
      <c r="Y138" s="1"/>
      <c r="Z138" s="1"/>
      <c r="AA138" s="1"/>
      <c r="AB138" s="1"/>
      <c r="AC138" s="140"/>
      <c r="AD138" s="1"/>
      <c r="AE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K141" s="1"/>
      <c r="L141" s="1"/>
      <c r="M141" s="1"/>
      <c r="N141" s="1"/>
      <c r="O141" s="1"/>
      <c r="P141" s="1"/>
      <c r="Q141" s="1"/>
      <c r="R141" s="1"/>
      <c r="S141" s="123"/>
      <c r="T141" s="208" t="s">
        <v>103</v>
      </c>
      <c r="U141" s="1"/>
      <c r="V141" s="1"/>
      <c r="W141" s="1"/>
      <c r="X141" s="1"/>
      <c r="Y141" s="1"/>
      <c r="Z141" s="1"/>
      <c r="AA141" s="1"/>
      <c r="AB141" s="1"/>
      <c r="AC141" s="1"/>
      <c r="AD141" s="1"/>
      <c r="AE141" s="1"/>
      <c r="AF141" s="98"/>
      <c r="AG141" s="98"/>
      <c r="AH141" s="98"/>
      <c r="AI141" s="98"/>
      <c r="AJ141" s="98"/>
      <c r="AK141" s="98"/>
      <c r="AL141" s="98"/>
      <c r="AM141" s="98"/>
      <c r="AQ141" s="1"/>
    </row>
    <row r="142" spans="2:43" x14ac:dyDescent="0.25">
      <c r="B142" s="206"/>
      <c r="C142" s="206"/>
      <c r="D142" s="206"/>
      <c r="E142" s="206"/>
      <c r="F142" s="206"/>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K143" s="1"/>
      <c r="L143" s="1"/>
      <c r="M143" s="1"/>
      <c r="N143" s="1"/>
      <c r="O143" s="1"/>
      <c r="P143" s="1"/>
      <c r="Q143" s="1"/>
      <c r="R143" s="1"/>
      <c r="S143" s="1"/>
      <c r="T143" s="174" t="s">
        <v>105</v>
      </c>
      <c r="U143" s="1"/>
      <c r="V143" s="1"/>
      <c r="W143" s="1"/>
      <c r="X143" s="1"/>
      <c r="Y143" s="1"/>
      <c r="Z143" s="1"/>
      <c r="AA143" s="1"/>
      <c r="AB143" s="1"/>
      <c r="AC143" s="211"/>
      <c r="AD143" s="1"/>
      <c r="AE143" s="1"/>
      <c r="AQ143" s="1"/>
    </row>
    <row r="144" ht="14.25" customHeight="1" spans="2:43" x14ac:dyDescent="0.25">
      <c r="B144" s="3"/>
      <c r="C144" s="3"/>
      <c r="D144" s="3"/>
      <c r="E144" s="3"/>
      <c r="F144" s="3"/>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11:43" x14ac:dyDescent="0.25">
      <c r="K147" s="1"/>
      <c r="L147" s="1"/>
      <c r="M147" s="1"/>
      <c r="N147" s="1"/>
      <c r="O147" s="1"/>
      <c r="P147" s="1"/>
      <c r="Q147" s="1"/>
      <c r="R147" s="1"/>
      <c r="S147" s="1"/>
      <c r="T147" s="1"/>
      <c r="U147" s="1"/>
      <c r="V147" s="1"/>
      <c r="W147" s="1"/>
      <c r="X147" s="1"/>
      <c r="Y147" s="1"/>
      <c r="Z147" s="1"/>
      <c r="AA147" s="1"/>
      <c r="AB147" s="1"/>
      <c r="AC147" s="1"/>
      <c r="AD147" s="1"/>
      <c r="AE147" s="1"/>
      <c r="AQ147" s="1"/>
    </row>
    <row r="148" spans="11:43" x14ac:dyDescent="0.25">
      <c r="K148" s="1"/>
      <c r="L148" s="1"/>
      <c r="M148" s="1"/>
      <c r="N148" s="1"/>
      <c r="O148" s="1"/>
      <c r="P148" s="1"/>
      <c r="Q148" s="1"/>
      <c r="R148" s="1"/>
      <c r="S148" s="1"/>
      <c r="T148" s="1"/>
      <c r="U148" s="1"/>
      <c r="V148" s="1"/>
      <c r="W148" s="1"/>
      <c r="X148" s="1"/>
      <c r="Y148" s="1"/>
      <c r="Z148" s="1"/>
      <c r="AA148" s="1"/>
      <c r="AB148" s="1"/>
      <c r="AC148" s="1"/>
      <c r="AD148" s="1"/>
      <c r="AE148" s="1"/>
      <c r="AQ148" s="1"/>
    </row>
    <row r="149" spans="11:43" x14ac:dyDescent="0.25">
      <c r="K149" s="1"/>
      <c r="L149" s="1"/>
      <c r="M149" s="1"/>
      <c r="N149" s="1"/>
      <c r="O149" s="1"/>
      <c r="P149" s="1"/>
      <c r="Q149" s="1"/>
      <c r="R149" s="1"/>
      <c r="S149" s="1"/>
      <c r="T149" s="1"/>
      <c r="U149" s="1"/>
      <c r="V149" s="1"/>
      <c r="W149" s="1"/>
      <c r="X149" s="1"/>
      <c r="Y149" s="1"/>
      <c r="Z149" s="1"/>
      <c r="AA149" s="1"/>
      <c r="AB149" s="1"/>
      <c r="AC149" s="1"/>
      <c r="AD149" s="1"/>
      <c r="AE149" s="1"/>
      <c r="AQ149" s="1"/>
    </row>
    <row r="150" spans="11:43" x14ac:dyDescent="0.25">
      <c r="K150" s="1"/>
      <c r="L150" s="1"/>
      <c r="M150" s="1"/>
      <c r="N150" s="1"/>
      <c r="O150" s="1"/>
      <c r="P150" s="1"/>
      <c r="Q150" s="1"/>
      <c r="R150" s="1"/>
      <c r="S150" s="1"/>
      <c r="T150" s="1"/>
      <c r="U150" s="1"/>
      <c r="V150" s="1"/>
      <c r="W150" s="1"/>
      <c r="X150" s="1"/>
      <c r="Y150" s="1"/>
      <c r="Z150" s="1"/>
      <c r="AA150" s="1"/>
      <c r="AB150" s="1"/>
      <c r="AC150" s="1"/>
      <c r="AD150" s="1"/>
      <c r="AE150" s="1"/>
      <c r="AQ150" s="1"/>
    </row>
    <row r="151" spans="11:43" x14ac:dyDescent="0.25">
      <c r="K151" s="1"/>
      <c r="L151" s="1"/>
      <c r="M151" s="1"/>
      <c r="N151" s="1"/>
      <c r="O151" s="1"/>
      <c r="P151" s="1"/>
      <c r="Q151" s="1"/>
      <c r="R151" s="1"/>
      <c r="S151" s="1"/>
      <c r="T151" s="1"/>
      <c r="U151" s="1"/>
      <c r="V151" s="1"/>
      <c r="W151" s="1"/>
      <c r="X151" s="1"/>
      <c r="Y151" s="1"/>
      <c r="Z151" s="1"/>
      <c r="AA151" s="1"/>
      <c r="AB151" s="1"/>
      <c r="AC151" s="1"/>
      <c r="AD151" s="1"/>
      <c r="AE151" s="1"/>
      <c r="AQ151" s="1"/>
    </row>
    <row r="152" spans="11:43" x14ac:dyDescent="0.25">
      <c r="K152" s="1"/>
      <c r="L152" s="1"/>
      <c r="M152" s="1"/>
      <c r="N152" s="1"/>
      <c r="O152" s="1"/>
      <c r="P152" s="1"/>
      <c r="Q152" s="1"/>
      <c r="R152" s="1"/>
      <c r="S152" s="1"/>
      <c r="T152" s="1"/>
      <c r="U152" s="1"/>
      <c r="V152" s="1"/>
      <c r="W152" s="1"/>
      <c r="X152" s="1"/>
      <c r="Y152" s="1"/>
      <c r="Z152" s="1"/>
      <c r="AA152" s="1"/>
      <c r="AB152" s="1"/>
      <c r="AC152" s="1"/>
      <c r="AD152" s="1"/>
      <c r="AE152" s="1"/>
      <c r="AQ152" s="1"/>
    </row>
    <row r="153" spans="11:43" x14ac:dyDescent="0.25">
      <c r="K153" s="1"/>
      <c r="L153" s="1"/>
      <c r="M153" s="1"/>
      <c r="N153" s="1"/>
      <c r="O153" s="1"/>
      <c r="P153" s="1"/>
      <c r="Q153" s="1"/>
      <c r="R153" s="1"/>
      <c r="S153" s="1"/>
      <c r="T153" s="1"/>
      <c r="U153" s="1"/>
      <c r="V153" s="1"/>
      <c r="W153" s="1"/>
      <c r="X153" s="1"/>
      <c r="Y153" s="1"/>
      <c r="Z153" s="1"/>
      <c r="AA153" s="1"/>
      <c r="AB153" s="1"/>
      <c r="AC153" s="1"/>
      <c r="AD153" s="1"/>
      <c r="AE153" s="1"/>
      <c r="AQ153" s="1"/>
    </row>
    <row r="154" spans="11:43" x14ac:dyDescent="0.25">
      <c r="K154" s="1"/>
      <c r="L154" s="1"/>
      <c r="M154" s="1"/>
      <c r="N154" s="1"/>
      <c r="O154" s="1"/>
      <c r="P154" s="1"/>
      <c r="Q154" s="1"/>
      <c r="R154" s="1"/>
      <c r="S154" s="1"/>
      <c r="T154" s="1"/>
      <c r="U154" s="1"/>
      <c r="V154" s="1"/>
      <c r="W154" s="1"/>
      <c r="X154" s="1"/>
      <c r="Y154" s="1"/>
      <c r="Z154" s="1"/>
      <c r="AA154" s="1"/>
      <c r="AB154" s="1"/>
      <c r="AC154" s="1"/>
      <c r="AD154" s="1"/>
      <c r="AE154" s="1"/>
      <c r="AQ154" s="1"/>
    </row>
    <row r="155" spans="11:43" x14ac:dyDescent="0.25">
      <c r="K155" s="1"/>
      <c r="L155" s="1"/>
      <c r="M155" s="1"/>
      <c r="N155" s="1"/>
      <c r="O155" s="1"/>
      <c r="P155" s="1"/>
      <c r="Q155" s="1"/>
      <c r="R155" s="1"/>
      <c r="S155" s="1"/>
      <c r="T155" s="1"/>
      <c r="U155" s="1"/>
      <c r="V155" s="1"/>
      <c r="W155" s="1"/>
      <c r="X155" s="1"/>
      <c r="Y155" s="1"/>
      <c r="Z155" s="1"/>
      <c r="AA155" s="1"/>
      <c r="AB155" s="1"/>
      <c r="AC155" s="1"/>
      <c r="AD155" s="1"/>
      <c r="AE155" s="1"/>
      <c r="AQ155" s="1"/>
    </row>
    <row r="156" spans="11:43" x14ac:dyDescent="0.25">
      <c r="K156" s="1"/>
      <c r="L156" s="1"/>
      <c r="M156" s="1"/>
      <c r="N156" s="1"/>
      <c r="O156" s="1"/>
      <c r="P156" s="1"/>
      <c r="Q156" s="1"/>
      <c r="R156" s="1"/>
      <c r="S156" s="1"/>
      <c r="T156" s="1"/>
      <c r="U156" s="1"/>
      <c r="V156" s="1"/>
      <c r="W156" s="1"/>
      <c r="X156" s="1"/>
      <c r="Y156" s="1"/>
      <c r="Z156" s="1"/>
      <c r="AA156" s="1"/>
      <c r="AB156" s="1"/>
      <c r="AC156" s="1"/>
      <c r="AD156" s="1"/>
      <c r="AE156" s="1"/>
      <c r="AQ156" s="1"/>
    </row>
    <row r="157" spans="11:43" x14ac:dyDescent="0.25">
      <c r="K157" s="1"/>
      <c r="L157" s="1"/>
      <c r="M157" s="1"/>
      <c r="N157" s="1"/>
      <c r="O157" s="1"/>
      <c r="P157" s="1"/>
      <c r="Q157" s="1"/>
      <c r="R157" s="1"/>
      <c r="S157" s="1"/>
      <c r="T157" s="1"/>
      <c r="U157" s="1"/>
      <c r="V157" s="1"/>
      <c r="W157" s="1"/>
      <c r="X157" s="1"/>
      <c r="Y157" s="1"/>
      <c r="Z157" s="1"/>
      <c r="AA157" s="1"/>
      <c r="AB157" s="1"/>
      <c r="AC157" s="1"/>
      <c r="AD157" s="1"/>
      <c r="AE157" s="1"/>
      <c r="AQ157" s="1"/>
    </row>
    <row r="158" spans="11:43" x14ac:dyDescent="0.25">
      <c r="K158" s="1"/>
      <c r="L158" s="1"/>
      <c r="M158" s="1"/>
      <c r="N158" s="1"/>
      <c r="O158" s="1"/>
      <c r="P158" s="1"/>
      <c r="Q158" s="1"/>
      <c r="R158" s="1"/>
      <c r="S158" s="1"/>
      <c r="T158" s="1"/>
      <c r="U158" s="1"/>
      <c r="V158" s="1"/>
      <c r="W158" s="1"/>
      <c r="X158" s="1"/>
      <c r="Y158" s="1"/>
      <c r="Z158" s="1"/>
      <c r="AA158" s="1"/>
      <c r="AB158" s="1"/>
      <c r="AC158" s="1"/>
      <c r="AD158" s="1"/>
      <c r="AE158" s="1"/>
      <c r="AQ158" s="1"/>
    </row>
    <row r="159" spans="11:43" x14ac:dyDescent="0.25">
      <c r="K159" s="1"/>
      <c r="L159" s="1"/>
      <c r="M159" s="1"/>
      <c r="N159" s="1"/>
      <c r="O159" s="1"/>
      <c r="P159" s="1"/>
      <c r="Q159" s="1"/>
      <c r="R159" s="1"/>
      <c r="S159" s="1"/>
      <c r="T159" s="1"/>
      <c r="U159" s="1"/>
      <c r="V159" s="1"/>
      <c r="W159" s="1"/>
      <c r="X159" s="1"/>
      <c r="Y159" s="1"/>
      <c r="Z159" s="1"/>
      <c r="AA159" s="1"/>
      <c r="AB159" s="1"/>
      <c r="AC159" s="1"/>
      <c r="AD159" s="1"/>
      <c r="AE159" s="1"/>
      <c r="AQ159" s="1"/>
    </row>
    <row r="160" spans="11:43" x14ac:dyDescent="0.25">
      <c r="K160" s="1"/>
      <c r="L160" s="1"/>
      <c r="M160" s="1"/>
      <c r="N160" s="1"/>
      <c r="O160" s="1"/>
      <c r="P160" s="1"/>
      <c r="Q160" s="1"/>
      <c r="R160" s="1"/>
      <c r="S160" s="1"/>
      <c r="T160" s="1"/>
      <c r="U160" s="1"/>
      <c r="V160" s="1"/>
      <c r="W160" s="1"/>
      <c r="X160" s="1"/>
      <c r="Y160" s="1"/>
      <c r="Z160" s="1"/>
      <c r="AA160" s="1"/>
      <c r="AB160" s="1"/>
      <c r="AC160" s="1"/>
      <c r="AD160" s="1"/>
      <c r="AE160" s="1"/>
      <c r="AQ160" s="1"/>
    </row>
    <row r="161" spans="11:43" x14ac:dyDescent="0.25">
      <c r="K161" s="1"/>
      <c r="L161" s="1"/>
      <c r="M161" s="1"/>
      <c r="N161" s="1"/>
      <c r="O161" s="1"/>
      <c r="P161" s="1"/>
      <c r="Q161" s="1"/>
      <c r="R161" s="1"/>
      <c r="S161" s="1"/>
      <c r="T161" s="1"/>
      <c r="U161" s="1"/>
      <c r="V161" s="1"/>
      <c r="W161" s="1"/>
      <c r="X161" s="1"/>
      <c r="Y161" s="1"/>
      <c r="Z161" s="1"/>
      <c r="AA161" s="1"/>
      <c r="AB161" s="1"/>
      <c r="AC161" s="1"/>
      <c r="AD161" s="1"/>
      <c r="AE161" s="1"/>
      <c r="AQ161" s="1"/>
    </row>
    <row r="162" spans="11:43" x14ac:dyDescent="0.25">
      <c r="K162" s="1"/>
      <c r="L162" s="1"/>
      <c r="M162" s="1"/>
      <c r="N162" s="1"/>
      <c r="O162" s="1"/>
      <c r="P162" s="1"/>
      <c r="Q162" s="1"/>
      <c r="R162" s="1"/>
      <c r="S162" s="1"/>
      <c r="T162" s="1"/>
      <c r="U162" s="1"/>
      <c r="V162" s="1"/>
      <c r="W162" s="1"/>
      <c r="X162" s="1"/>
      <c r="Y162" s="1"/>
      <c r="Z162" s="1"/>
      <c r="AA162" s="1"/>
      <c r="AB162" s="1"/>
      <c r="AC162" s="1"/>
      <c r="AD162" s="1"/>
      <c r="AE162" s="1"/>
      <c r="AQ162" s="1"/>
    </row>
    <row r="163" spans="11:43" x14ac:dyDescent="0.25">
      <c r="K163" s="1"/>
      <c r="L163" s="1"/>
      <c r="M163" s="1"/>
      <c r="N163" s="1"/>
      <c r="O163" s="1"/>
      <c r="P163" s="1"/>
      <c r="Q163" s="1"/>
      <c r="R163" s="1"/>
      <c r="S163" s="1"/>
      <c r="T163" s="1"/>
      <c r="U163" s="1"/>
      <c r="V163" s="1"/>
      <c r="W163" s="1"/>
      <c r="X163" s="1"/>
      <c r="Y163" s="1"/>
      <c r="Z163" s="1"/>
      <c r="AA163" s="1"/>
      <c r="AB163" s="1"/>
      <c r="AC163" s="1"/>
      <c r="AD163" s="1"/>
      <c r="AE163" s="1"/>
      <c r="AQ163" s="1"/>
    </row>
    <row r="164" spans="11:43" x14ac:dyDescent="0.25">
      <c r="K164" s="1"/>
      <c r="L164" s="1"/>
      <c r="M164" s="1"/>
      <c r="N164" s="1"/>
      <c r="O164" s="1"/>
      <c r="P164" s="1"/>
      <c r="Q164" s="1"/>
      <c r="R164" s="1"/>
      <c r="S164" s="1"/>
      <c r="T164" s="1"/>
      <c r="U164" s="1"/>
      <c r="V164" s="1"/>
      <c r="W164" s="1"/>
      <c r="X164" s="1"/>
      <c r="Y164" s="1"/>
      <c r="Z164" s="1"/>
      <c r="AA164" s="1"/>
      <c r="AB164" s="1"/>
      <c r="AC164" s="1"/>
      <c r="AD164" s="1"/>
      <c r="AE164" s="1"/>
      <c r="AQ164" s="1"/>
    </row>
    <row r="165" spans="11:43" x14ac:dyDescent="0.25">
      <c r="K165" s="1"/>
      <c r="L165" s="1"/>
      <c r="M165" s="1"/>
      <c r="N165" s="1"/>
      <c r="O165" s="1"/>
      <c r="P165" s="1"/>
      <c r="Q165" s="1"/>
      <c r="R165" s="1"/>
      <c r="S165" s="1"/>
      <c r="T165" s="1"/>
      <c r="U165" s="1"/>
      <c r="V165" s="1"/>
      <c r="W165" s="1"/>
      <c r="X165" s="1"/>
      <c r="Y165" s="1"/>
      <c r="Z165" s="1"/>
      <c r="AA165" s="1"/>
      <c r="AB165" s="1"/>
      <c r="AC165" s="1"/>
      <c r="AD165" s="1"/>
      <c r="AE165" s="1"/>
      <c r="AQ165" s="1"/>
    </row>
    <row r="166" spans="11:43" x14ac:dyDescent="0.25">
      <c r="K166" s="1"/>
      <c r="L166" s="1"/>
      <c r="M166" s="1"/>
      <c r="N166" s="1"/>
      <c r="O166" s="1"/>
      <c r="P166" s="1"/>
      <c r="Q166" s="1"/>
      <c r="R166" s="1"/>
      <c r="S166" s="1"/>
      <c r="T166" s="1"/>
      <c r="U166" s="1"/>
      <c r="V166" s="1"/>
      <c r="W166" s="1"/>
      <c r="X166" s="1"/>
      <c r="Y166" s="1"/>
      <c r="Z166" s="1"/>
      <c r="AA166" s="1"/>
      <c r="AB166" s="1"/>
      <c r="AC166" s="1"/>
      <c r="AD166" s="1"/>
      <c r="AE166" s="1"/>
      <c r="AQ166" s="1"/>
    </row>
    <row r="167" spans="11:43" x14ac:dyDescent="0.25">
      <c r="K167" s="1"/>
      <c r="L167" s="1"/>
      <c r="M167" s="1"/>
      <c r="N167" s="1"/>
      <c r="O167" s="1"/>
      <c r="P167" s="1"/>
      <c r="Q167" s="1"/>
      <c r="R167" s="1"/>
      <c r="S167" s="1"/>
      <c r="T167" s="1"/>
      <c r="U167" s="1"/>
      <c r="V167" s="1"/>
      <c r="W167" s="1"/>
      <c r="X167" s="1"/>
      <c r="Y167" s="1"/>
      <c r="Z167" s="1"/>
      <c r="AA167" s="1"/>
      <c r="AB167" s="1"/>
      <c r="AC167" s="1"/>
      <c r="AD167" s="1"/>
      <c r="AE167" s="1"/>
      <c r="AQ167" s="1"/>
    </row>
    <row r="168" spans="11:43" x14ac:dyDescent="0.25">
      <c r="K168" s="1"/>
      <c r="L168" s="1"/>
      <c r="M168" s="1"/>
      <c r="N168" s="1"/>
      <c r="O168" s="1"/>
      <c r="P168" s="1"/>
      <c r="Q168" s="1"/>
      <c r="R168" s="1"/>
      <c r="S168" s="1"/>
      <c r="T168" s="1"/>
      <c r="U168" s="1"/>
      <c r="V168" s="1"/>
      <c r="W168" s="1"/>
      <c r="X168" s="1"/>
      <c r="Y168" s="1"/>
      <c r="Z168" s="1"/>
      <c r="AA168" s="1"/>
      <c r="AB168" s="1"/>
      <c r="AC168" s="1"/>
      <c r="AD168" s="1"/>
      <c r="AE168" s="1"/>
      <c r="AQ168" s="1"/>
    </row>
    <row r="169" spans="11:43" x14ac:dyDescent="0.25">
      <c r="K169" s="1"/>
      <c r="L169" s="1"/>
      <c r="M169" s="1"/>
      <c r="N169" s="1"/>
      <c r="O169" s="1"/>
      <c r="P169" s="1"/>
      <c r="Q169" s="1"/>
      <c r="R169" s="1"/>
      <c r="S169" s="1"/>
      <c r="T169" s="1"/>
      <c r="U169" s="1"/>
      <c r="V169" s="1"/>
      <c r="W169" s="1"/>
      <c r="X169" s="1"/>
      <c r="Y169" s="1"/>
      <c r="Z169" s="1"/>
      <c r="AA169" s="1"/>
      <c r="AB169" s="1"/>
      <c r="AC169" s="1"/>
      <c r="AD169" s="1"/>
      <c r="AE169" s="1"/>
      <c r="AQ169" s="1"/>
    </row>
    <row r="170" spans="11:43" x14ac:dyDescent="0.25">
      <c r="K170" s="1"/>
      <c r="L170" s="1"/>
      <c r="M170" s="1"/>
      <c r="N170" s="1"/>
      <c r="O170" s="1"/>
      <c r="P170" s="1"/>
      <c r="Q170" s="1"/>
      <c r="R170" s="1"/>
      <c r="S170" s="1"/>
      <c r="T170" s="1"/>
      <c r="U170" s="1"/>
      <c r="V170" s="1"/>
      <c r="W170" s="1"/>
      <c r="X170" s="1"/>
      <c r="Y170" s="1"/>
      <c r="Z170" s="1"/>
      <c r="AA170" s="1"/>
      <c r="AB170" s="1"/>
      <c r="AC170" s="1"/>
      <c r="AD170" s="1"/>
      <c r="AE170" s="1"/>
      <c r="AQ170" s="1"/>
    </row>
    <row r="171" spans="11:43" x14ac:dyDescent="0.25">
      <c r="K171" s="1"/>
      <c r="L171" s="1"/>
      <c r="M171" s="1"/>
      <c r="N171" s="1"/>
      <c r="O171" s="1"/>
      <c r="P171" s="1"/>
      <c r="Q171" s="1"/>
      <c r="R171" s="1"/>
      <c r="S171" s="1"/>
      <c r="T171" s="1"/>
      <c r="U171" s="1"/>
      <c r="V171" s="1"/>
      <c r="W171" s="1"/>
      <c r="X171" s="1"/>
      <c r="Y171" s="1"/>
      <c r="Z171" s="1"/>
      <c r="AA171" s="1"/>
      <c r="AB171" s="1"/>
      <c r="AC171" s="1"/>
      <c r="AD171" s="1"/>
      <c r="AE171" s="1"/>
      <c r="AQ171" s="1"/>
    </row>
    <row r="172" spans="11:43" x14ac:dyDescent="0.25">
      <c r="K172" s="1"/>
      <c r="L172" s="1"/>
      <c r="M172" s="1"/>
      <c r="N172" s="1"/>
      <c r="O172" s="1"/>
      <c r="P172" s="1"/>
      <c r="Q172" s="1"/>
      <c r="R172" s="1"/>
      <c r="S172" s="1"/>
      <c r="T172" s="1"/>
      <c r="U172" s="1"/>
      <c r="V172" s="1"/>
      <c r="W172" s="1"/>
      <c r="X172" s="1"/>
      <c r="Y172" s="1"/>
      <c r="Z172" s="1"/>
      <c r="AA172" s="1"/>
      <c r="AB172" s="1"/>
      <c r="AC172" s="1"/>
      <c r="AD172" s="1"/>
      <c r="AE172" s="1"/>
      <c r="AQ172" s="1"/>
    </row>
    <row r="173" spans="11:43" x14ac:dyDescent="0.25">
      <c r="K173" s="1"/>
      <c r="L173" s="1"/>
      <c r="M173" s="1"/>
      <c r="N173" s="1"/>
      <c r="O173" s="1"/>
      <c r="P173" s="1"/>
      <c r="Q173" s="1"/>
      <c r="R173" s="1"/>
      <c r="S173" s="1"/>
      <c r="T173" s="1"/>
      <c r="U173" s="1"/>
      <c r="V173" s="1"/>
      <c r="W173" s="1"/>
      <c r="X173" s="1"/>
      <c r="Y173" s="1"/>
      <c r="Z173" s="1"/>
      <c r="AA173" s="1"/>
      <c r="AB173" s="1"/>
      <c r="AC173" s="1"/>
      <c r="AD173" s="1"/>
      <c r="AE173" s="1"/>
      <c r="AQ173" s="1"/>
    </row>
    <row r="174" spans="11:43" x14ac:dyDescent="0.25">
      <c r="K174" s="1"/>
      <c r="L174" s="1"/>
      <c r="M174" s="1"/>
      <c r="N174" s="1"/>
      <c r="O174" s="1"/>
      <c r="P174" s="1"/>
      <c r="Q174" s="1"/>
      <c r="R174" s="1"/>
      <c r="S174" s="1"/>
      <c r="T174" s="1"/>
      <c r="U174" s="1"/>
      <c r="V174" s="1"/>
      <c r="W174" s="1"/>
      <c r="X174" s="1"/>
      <c r="Y174" s="1"/>
      <c r="Z174" s="1"/>
      <c r="AA174" s="1"/>
      <c r="AB174" s="1"/>
      <c r="AC174" s="1"/>
      <c r="AD174" s="1"/>
      <c r="AE174" s="1"/>
      <c r="AQ174" s="1"/>
    </row>
    <row r="175" spans="11:43" x14ac:dyDescent="0.25">
      <c r="K175" s="1"/>
      <c r="L175" s="1"/>
      <c r="M175" s="1"/>
      <c r="N175" s="1"/>
      <c r="O175" s="1"/>
      <c r="P175" s="1"/>
      <c r="Q175" s="1"/>
      <c r="R175" s="1"/>
      <c r="S175" s="1"/>
      <c r="T175" s="1"/>
      <c r="U175" s="1"/>
      <c r="V175" s="1"/>
      <c r="W175" s="1"/>
      <c r="X175" s="1"/>
      <c r="Y175" s="1"/>
      <c r="Z175" s="1"/>
      <c r="AA175" s="1"/>
      <c r="AB175" s="1"/>
      <c r="AC175" s="1"/>
      <c r="AD175" s="1"/>
      <c r="AE175" s="1"/>
      <c r="AQ175" s="1"/>
    </row>
    <row r="176" spans="11:43" x14ac:dyDescent="0.25">
      <c r="K176" s="1"/>
      <c r="L176" s="1"/>
      <c r="M176" s="1"/>
      <c r="N176" s="1"/>
      <c r="O176" s="1"/>
      <c r="P176" s="1"/>
      <c r="Q176" s="1"/>
      <c r="R176" s="1"/>
      <c r="S176" s="1"/>
      <c r="T176" s="1"/>
      <c r="U176" s="1"/>
      <c r="V176" s="1"/>
      <c r="W176" s="1"/>
      <c r="X176" s="1"/>
      <c r="Y176" s="1"/>
      <c r="Z176" s="1"/>
      <c r="AA176" s="1"/>
      <c r="AB176" s="1"/>
      <c r="AC176" s="1"/>
      <c r="AD176" s="1"/>
      <c r="AE176" s="1"/>
      <c r="AQ176" s="1"/>
    </row>
    <row r="177" spans="11:43" x14ac:dyDescent="0.25">
      <c r="K177" s="1"/>
      <c r="L177" s="1"/>
      <c r="M177" s="1"/>
      <c r="N177" s="1"/>
      <c r="O177" s="1"/>
      <c r="P177" s="1"/>
      <c r="Q177" s="1"/>
      <c r="R177" s="1"/>
      <c r="S177" s="1"/>
      <c r="T177" s="1"/>
      <c r="U177" s="1"/>
      <c r="V177" s="1"/>
      <c r="W177" s="1"/>
      <c r="X177" s="1"/>
      <c r="Y177" s="1"/>
      <c r="Z177" s="1"/>
      <c r="AA177" s="1"/>
      <c r="AB177" s="1"/>
      <c r="AC177" s="1"/>
      <c r="AD177" s="1"/>
      <c r="AE177" s="1"/>
      <c r="AQ177" s="1"/>
    </row>
    <row r="178" spans="11:43" x14ac:dyDescent="0.25">
      <c r="K178" s="1"/>
      <c r="L178" s="1"/>
      <c r="M178" s="1"/>
      <c r="N178" s="1"/>
      <c r="O178" s="1"/>
      <c r="P178" s="1"/>
      <c r="Q178" s="1"/>
      <c r="R178" s="1"/>
      <c r="S178" s="1"/>
      <c r="T178" s="1"/>
      <c r="U178" s="1"/>
      <c r="V178" s="1"/>
      <c r="W178" s="1"/>
      <c r="X178" s="1"/>
      <c r="Y178" s="1"/>
      <c r="Z178" s="1"/>
      <c r="AA178" s="1"/>
      <c r="AB178" s="1"/>
      <c r="AC178" s="1"/>
      <c r="AD178" s="1"/>
      <c r="AE178" s="1"/>
      <c r="AQ178" s="1"/>
    </row>
    <row r="179" spans="11:43" x14ac:dyDescent="0.25">
      <c r="K179" s="1"/>
      <c r="L179" s="1"/>
      <c r="M179" s="1"/>
      <c r="N179" s="1"/>
      <c r="O179" s="1"/>
      <c r="P179" s="1"/>
      <c r="Q179" s="1"/>
      <c r="R179" s="1"/>
      <c r="S179" s="1"/>
      <c r="T179" s="1"/>
      <c r="U179" s="1"/>
      <c r="V179" s="1"/>
      <c r="W179" s="1"/>
      <c r="X179" s="1"/>
      <c r="Y179" s="1"/>
      <c r="Z179" s="1"/>
      <c r="AA179" s="1"/>
      <c r="AB179" s="1"/>
      <c r="AC179" s="1"/>
      <c r="AD179" s="1"/>
      <c r="AE179" s="1"/>
      <c r="AQ179" s="1"/>
    </row>
    <row r="180" spans="11:43" x14ac:dyDescent="0.25">
      <c r="K180" s="1"/>
      <c r="L180" s="1"/>
      <c r="M180" s="1"/>
      <c r="N180" s="1"/>
      <c r="O180" s="1"/>
      <c r="P180" s="1"/>
      <c r="Q180" s="1"/>
      <c r="R180" s="1"/>
      <c r="S180" s="1"/>
      <c r="T180" s="1"/>
      <c r="U180" s="1"/>
      <c r="V180" s="1"/>
      <c r="W180" s="1"/>
      <c r="X180" s="1"/>
      <c r="Y180" s="1"/>
      <c r="Z180" s="1"/>
      <c r="AA180" s="1"/>
      <c r="AB180" s="1"/>
      <c r="AC180" s="1"/>
      <c r="AD180" s="1"/>
      <c r="AE180" s="1"/>
      <c r="AQ180" s="1"/>
    </row>
    <row r="181" spans="11:43" x14ac:dyDescent="0.25">
      <c r="K181" s="1"/>
      <c r="L181" s="1"/>
      <c r="M181" s="1"/>
      <c r="N181" s="1"/>
      <c r="O181" s="1"/>
      <c r="P181" s="1"/>
      <c r="Q181" s="1"/>
      <c r="R181" s="1"/>
      <c r="S181" s="1"/>
      <c r="T181" s="1"/>
      <c r="U181" s="1"/>
      <c r="V181" s="1"/>
      <c r="W181" s="1"/>
      <c r="X181" s="1"/>
      <c r="Y181" s="1"/>
      <c r="Z181" s="1"/>
      <c r="AA181" s="1"/>
      <c r="AB181" s="1"/>
      <c r="AC181" s="1"/>
      <c r="AD181" s="1"/>
      <c r="AE181" s="1"/>
      <c r="AQ181" s="1"/>
    </row>
    <row r="182" spans="11:43" x14ac:dyDescent="0.25">
      <c r="K182" s="1"/>
      <c r="L182" s="1"/>
      <c r="M182" s="1"/>
      <c r="N182" s="1"/>
      <c r="O182" s="1"/>
      <c r="P182" s="1"/>
      <c r="Q182" s="1"/>
      <c r="R182" s="1"/>
      <c r="S182" s="1"/>
      <c r="T182" s="1"/>
      <c r="U182" s="1"/>
      <c r="V182" s="1"/>
      <c r="W182" s="1"/>
      <c r="X182" s="1"/>
      <c r="Y182" s="1"/>
      <c r="Z182" s="1"/>
      <c r="AA182" s="1"/>
      <c r="AB182" s="1"/>
      <c r="AC182" s="1"/>
      <c r="AD182" s="1"/>
      <c r="AE182" s="1"/>
      <c r="AQ182" s="1"/>
    </row>
    <row r="183" spans="11:43" x14ac:dyDescent="0.25">
      <c r="K183" s="1"/>
      <c r="L183" s="1"/>
      <c r="M183" s="1"/>
      <c r="N183" s="1"/>
      <c r="O183" s="1"/>
      <c r="P183" s="1"/>
      <c r="Q183" s="1"/>
      <c r="R183" s="1"/>
      <c r="S183" s="1"/>
      <c r="T183" s="1"/>
      <c r="U183" s="1"/>
      <c r="V183" s="1"/>
      <c r="W183" s="1"/>
      <c r="X183" s="1"/>
      <c r="Y183" s="1"/>
      <c r="Z183" s="1"/>
      <c r="AA183" s="1"/>
      <c r="AB183" s="1"/>
      <c r="AC183" s="1"/>
      <c r="AD183" s="1"/>
      <c r="AE183" s="1"/>
      <c r="AQ183" s="1"/>
    </row>
    <row r="184" spans="11:43" x14ac:dyDescent="0.25">
      <c r="K184" s="1"/>
      <c r="L184" s="1"/>
      <c r="M184" s="1"/>
      <c r="N184" s="1"/>
      <c r="O184" s="1"/>
      <c r="P184" s="1"/>
      <c r="Q184" s="1"/>
      <c r="R184" s="1"/>
      <c r="S184" s="1"/>
      <c r="T184" s="1"/>
      <c r="U184" s="1"/>
      <c r="V184" s="1"/>
      <c r="W184" s="1"/>
      <c r="X184" s="1"/>
      <c r="Y184" s="1"/>
      <c r="Z184" s="1"/>
      <c r="AA184" s="1"/>
      <c r="AB184" s="1"/>
      <c r="AC184" s="1"/>
      <c r="AD184" s="1"/>
      <c r="AE184" s="1"/>
      <c r="AQ184" s="1"/>
    </row>
    <row r="185" spans="11:43" x14ac:dyDescent="0.25">
      <c r="K185" s="1"/>
      <c r="L185" s="1"/>
      <c r="M185" s="1"/>
      <c r="N185" s="1"/>
      <c r="O185" s="1"/>
      <c r="P185" s="1"/>
      <c r="Q185" s="1"/>
      <c r="R185" s="1"/>
      <c r="S185" s="1"/>
      <c r="T185" s="1"/>
      <c r="U185" s="1"/>
      <c r="V185" s="1"/>
      <c r="W185" s="1"/>
      <c r="X185" s="1"/>
      <c r="Y185" s="1"/>
      <c r="Z185" s="1"/>
      <c r="AA185" s="1"/>
      <c r="AB185" s="1"/>
      <c r="AC185" s="1"/>
      <c r="AD185" s="1"/>
      <c r="AE185" s="1"/>
      <c r="AQ185" s="1"/>
    </row>
    <row r="186" spans="11:43" x14ac:dyDescent="0.25">
      <c r="K186" s="1"/>
      <c r="L186" s="1"/>
      <c r="M186" s="1"/>
      <c r="N186" s="1"/>
      <c r="O186" s="1"/>
      <c r="P186" s="1"/>
      <c r="Q186" s="1"/>
      <c r="R186" s="1"/>
      <c r="S186" s="1"/>
      <c r="T186" s="1"/>
      <c r="U186" s="1"/>
      <c r="V186" s="1"/>
      <c r="W186" s="1"/>
      <c r="X186" s="1"/>
      <c r="Y186" s="1"/>
      <c r="Z186" s="1"/>
      <c r="AA186" s="1"/>
      <c r="AB186" s="1"/>
      <c r="AC186" s="1"/>
      <c r="AD186" s="1"/>
      <c r="AE186" s="1"/>
      <c r="AQ186" s="1"/>
    </row>
    <row r="187" spans="11:43" x14ac:dyDescent="0.25">
      <c r="K187" s="1"/>
      <c r="L187" s="1"/>
      <c r="M187" s="1"/>
      <c r="N187" s="1"/>
      <c r="O187" s="1"/>
      <c r="P187" s="1"/>
      <c r="Q187" s="1"/>
      <c r="R187" s="1"/>
      <c r="S187" s="1"/>
      <c r="T187" s="1"/>
      <c r="U187" s="1"/>
      <c r="V187" s="1"/>
      <c r="W187" s="1"/>
      <c r="X187" s="1"/>
      <c r="Y187" s="1"/>
      <c r="Z187" s="1"/>
      <c r="AA187" s="1"/>
      <c r="AB187" s="1"/>
      <c r="AC187" s="1"/>
      <c r="AD187" s="1"/>
      <c r="AE187" s="1"/>
      <c r="AQ187" s="1"/>
    </row>
    <row r="188" spans="11:43" x14ac:dyDescent="0.25">
      <c r="K188" s="1"/>
      <c r="L188" s="1"/>
      <c r="M188" s="1"/>
      <c r="N188" s="1"/>
      <c r="O188" s="1"/>
      <c r="P188" s="1"/>
      <c r="Q188" s="1"/>
      <c r="R188" s="1"/>
      <c r="S188" s="1"/>
      <c r="T188" s="1"/>
      <c r="U188" s="1"/>
      <c r="V188" s="1"/>
      <c r="W188" s="1"/>
      <c r="X188" s="1"/>
      <c r="Y188" s="1"/>
      <c r="Z188" s="1"/>
      <c r="AA188" s="1"/>
      <c r="AB188" s="1"/>
      <c r="AC188" s="1"/>
      <c r="AD188" s="1"/>
      <c r="AE188" s="1"/>
      <c r="AQ188" s="1"/>
    </row>
    <row r="189" spans="11:43" x14ac:dyDescent="0.25">
      <c r="K189" s="1"/>
      <c r="L189" s="1"/>
      <c r="M189" s="1"/>
      <c r="N189" s="1"/>
      <c r="O189" s="1"/>
      <c r="P189" s="1"/>
      <c r="Q189" s="1"/>
      <c r="R189" s="1"/>
      <c r="S189" s="1"/>
      <c r="T189" s="1"/>
      <c r="U189" s="1"/>
      <c r="V189" s="1"/>
      <c r="W189" s="1"/>
      <c r="X189" s="1"/>
      <c r="Y189" s="1"/>
      <c r="Z189" s="1"/>
      <c r="AA189" s="1"/>
      <c r="AB189" s="1"/>
      <c r="AC189" s="1"/>
      <c r="AD189" s="1"/>
      <c r="AE189" s="1"/>
      <c r="AQ189" s="1"/>
    </row>
    <row r="190" spans="11:43" x14ac:dyDescent="0.25">
      <c r="K190" s="1"/>
      <c r="L190" s="1"/>
      <c r="M190" s="1"/>
      <c r="N190" s="1"/>
      <c r="O190" s="1"/>
      <c r="P190" s="1"/>
      <c r="Q190" s="1"/>
      <c r="R190" s="1"/>
      <c r="S190" s="1"/>
      <c r="T190" s="1"/>
      <c r="U190" s="1"/>
      <c r="V190" s="1"/>
      <c r="W190" s="1"/>
      <c r="X190" s="1"/>
      <c r="Y190" s="1"/>
      <c r="Z190" s="1"/>
      <c r="AA190" s="1"/>
      <c r="AB190" s="1"/>
      <c r="AC190" s="1"/>
      <c r="AD190" s="1"/>
      <c r="AE190" s="1"/>
      <c r="AQ190" s="1"/>
    </row>
    <row r="191" spans="11:43" x14ac:dyDescent="0.25">
      <c r="K191" s="1"/>
      <c r="L191" s="1"/>
      <c r="M191" s="1"/>
      <c r="N191" s="1"/>
      <c r="O191" s="1"/>
      <c r="P191" s="1"/>
      <c r="Q191" s="1"/>
      <c r="R191" s="1"/>
      <c r="S191" s="1"/>
      <c r="T191" s="1"/>
      <c r="U191" s="1"/>
      <c r="V191" s="1"/>
      <c r="W191" s="1"/>
      <c r="X191" s="1"/>
      <c r="Y191" s="1"/>
      <c r="Z191" s="1"/>
      <c r="AA191" s="1"/>
      <c r="AB191" s="1"/>
      <c r="AC191" s="1"/>
      <c r="AD191" s="1"/>
      <c r="AE191" s="1"/>
      <c r="AQ191" s="1"/>
    </row>
    <row r="192" spans="11:43" x14ac:dyDescent="0.25">
      <c r="K192" s="1"/>
      <c r="L192" s="1"/>
      <c r="M192" s="1"/>
      <c r="N192" s="1"/>
      <c r="O192" s="1"/>
      <c r="P192" s="1"/>
      <c r="Q192" s="1"/>
      <c r="R192" s="1"/>
      <c r="S192" s="1"/>
      <c r="T192" s="1"/>
      <c r="U192" s="1"/>
      <c r="V192" s="1"/>
      <c r="W192" s="1"/>
      <c r="X192" s="1"/>
      <c r="Y192" s="1"/>
      <c r="Z192" s="1"/>
      <c r="AA192" s="1"/>
      <c r="AB192" s="1"/>
      <c r="AC192" s="1"/>
      <c r="AD192" s="1"/>
      <c r="AE192" s="1"/>
      <c r="AQ192" s="1"/>
    </row>
    <row r="193" spans="11:43" x14ac:dyDescent="0.25">
      <c r="K193" s="1"/>
      <c r="L193" s="1"/>
      <c r="M193" s="1"/>
      <c r="N193" s="1"/>
      <c r="O193" s="1"/>
      <c r="P193" s="1"/>
      <c r="Q193" s="1"/>
      <c r="R193" s="1"/>
      <c r="S193" s="1"/>
      <c r="T193" s="1"/>
      <c r="U193" s="1"/>
      <c r="V193" s="1"/>
      <c r="W193" s="1"/>
      <c r="X193" s="1"/>
      <c r="Y193" s="1"/>
      <c r="Z193" s="1"/>
      <c r="AA193" s="1"/>
      <c r="AB193" s="1"/>
      <c r="AC193" s="1"/>
      <c r="AD193" s="1"/>
      <c r="AE193" s="1"/>
      <c r="AQ193" s="1"/>
    </row>
    <row r="194" spans="11:43" x14ac:dyDescent="0.25">
      <c r="K194" s="1"/>
      <c r="L194" s="1"/>
      <c r="M194" s="1"/>
      <c r="N194" s="1"/>
      <c r="O194" s="1"/>
      <c r="P194" s="1"/>
      <c r="Q194" s="1"/>
      <c r="R194" s="1"/>
      <c r="S194" s="1"/>
      <c r="T194" s="1"/>
      <c r="U194" s="1"/>
      <c r="V194" s="1"/>
      <c r="W194" s="1"/>
      <c r="X194" s="1"/>
      <c r="Y194" s="1"/>
      <c r="Z194" s="1"/>
      <c r="AA194" s="1"/>
      <c r="AB194" s="1"/>
      <c r="AC194" s="1"/>
      <c r="AD194" s="1"/>
      <c r="AE194" s="1"/>
      <c r="AQ194" s="1"/>
    </row>
    <row r="195" spans="11:43" x14ac:dyDescent="0.25">
      <c r="K195" s="1"/>
      <c r="L195" s="1"/>
      <c r="M195" s="1"/>
      <c r="N195" s="1"/>
      <c r="O195" s="1"/>
      <c r="P195" s="1"/>
      <c r="Q195" s="1"/>
      <c r="R195" s="1"/>
      <c r="S195" s="1"/>
      <c r="T195" s="1"/>
      <c r="U195" s="1"/>
      <c r="V195" s="1"/>
      <c r="W195" s="1"/>
      <c r="X195" s="1"/>
      <c r="Y195" s="1"/>
      <c r="Z195" s="1"/>
      <c r="AA195" s="1"/>
      <c r="AB195" s="1"/>
      <c r="AC195" s="1"/>
      <c r="AD195" s="1"/>
      <c r="AE195" s="1"/>
      <c r="AQ195" s="1"/>
    </row>
    <row r="196" spans="11:43" x14ac:dyDescent="0.25">
      <c r="K196" s="1"/>
      <c r="L196" s="1"/>
      <c r="M196" s="1"/>
      <c r="N196" s="1"/>
      <c r="O196" s="1"/>
      <c r="P196" s="1"/>
      <c r="Q196" s="1"/>
      <c r="R196" s="1"/>
      <c r="S196" s="1"/>
      <c r="T196" s="1"/>
      <c r="U196" s="1"/>
      <c r="V196" s="1"/>
      <c r="W196" s="1"/>
      <c r="X196" s="1"/>
      <c r="Y196" s="1"/>
      <c r="Z196" s="1"/>
      <c r="AA196" s="1"/>
      <c r="AB196" s="1"/>
      <c r="AC196" s="1"/>
      <c r="AD196" s="1"/>
      <c r="AE196" s="1"/>
      <c r="AQ196" s="1"/>
    </row>
    <row r="197" spans="11:43" x14ac:dyDescent="0.25">
      <c r="K197" s="1"/>
      <c r="L197" s="1"/>
      <c r="M197" s="1"/>
      <c r="N197" s="1"/>
      <c r="O197" s="1"/>
      <c r="P197" s="1"/>
      <c r="Q197" s="1"/>
      <c r="R197" s="1"/>
      <c r="S197" s="1"/>
      <c r="T197" s="1"/>
      <c r="U197" s="1"/>
      <c r="V197" s="1"/>
      <c r="W197" s="1"/>
      <c r="X197" s="1"/>
      <c r="Y197" s="1"/>
      <c r="Z197" s="1"/>
      <c r="AA197" s="1"/>
      <c r="AB197" s="1"/>
      <c r="AC197" s="1"/>
      <c r="AD197" s="1"/>
      <c r="AE197" s="1"/>
      <c r="AQ197" s="1"/>
    </row>
    <row r="198" spans="11:43" x14ac:dyDescent="0.25">
      <c r="K198" s="1"/>
      <c r="L198" s="1"/>
      <c r="M198" s="1"/>
      <c r="N198" s="1"/>
      <c r="O198" s="1"/>
      <c r="P198" s="1"/>
      <c r="Q198" s="1"/>
      <c r="R198" s="1"/>
      <c r="S198" s="1"/>
      <c r="T198" s="1"/>
      <c r="U198" s="1"/>
      <c r="V198" s="1"/>
      <c r="W198" s="1"/>
      <c r="X198" s="1"/>
      <c r="Y198" s="1"/>
      <c r="Z198" s="1"/>
      <c r="AA198" s="1"/>
      <c r="AB198" s="1"/>
      <c r="AC198" s="1"/>
      <c r="AD198" s="1"/>
      <c r="AE198" s="1"/>
      <c r="AQ198" s="1"/>
    </row>
    <row r="199" spans="11:43" x14ac:dyDescent="0.25">
      <c r="K199" s="1"/>
      <c r="L199" s="1"/>
      <c r="M199" s="1"/>
      <c r="N199" s="1"/>
      <c r="O199" s="1"/>
      <c r="P199" s="1"/>
      <c r="Q199" s="1"/>
      <c r="R199" s="1"/>
      <c r="S199" s="1"/>
      <c r="T199" s="1"/>
      <c r="U199" s="1"/>
      <c r="V199" s="1"/>
      <c r="W199" s="1"/>
      <c r="X199" s="1"/>
      <c r="Y199" s="1"/>
      <c r="Z199" s="1"/>
      <c r="AA199" s="1"/>
      <c r="AB199" s="1"/>
      <c r="AC199" s="1"/>
      <c r="AD199" s="1"/>
      <c r="AE199" s="1"/>
      <c r="AQ199" s="1"/>
    </row>
    <row r="200" spans="11:43" x14ac:dyDescent="0.25">
      <c r="K200" s="1"/>
      <c r="L200" s="1"/>
      <c r="M200" s="1"/>
      <c r="N200" s="1"/>
      <c r="O200" s="1"/>
      <c r="P200" s="1"/>
      <c r="Q200" s="1"/>
      <c r="R200" s="1"/>
      <c r="S200" s="1"/>
      <c r="T200" s="1"/>
      <c r="U200" s="1"/>
      <c r="V200" s="1"/>
      <c r="W200" s="1"/>
      <c r="X200" s="1"/>
      <c r="Y200" s="1"/>
      <c r="Z200" s="1"/>
      <c r="AA200" s="1"/>
      <c r="AB200" s="1"/>
      <c r="AC200" s="1"/>
      <c r="AD200" s="1"/>
      <c r="AE200" s="1"/>
      <c r="AQ200" s="1"/>
    </row>
    <row r="201" spans="11:43" x14ac:dyDescent="0.25">
      <c r="K201" s="1"/>
      <c r="L201" s="1"/>
      <c r="M201" s="1"/>
      <c r="N201" s="1"/>
      <c r="O201" s="1"/>
      <c r="P201" s="1"/>
      <c r="Q201" s="1"/>
      <c r="R201" s="1"/>
      <c r="S201" s="1"/>
      <c r="T201" s="1"/>
      <c r="U201" s="1"/>
      <c r="V201" s="1"/>
      <c r="W201" s="1"/>
      <c r="X201" s="1"/>
      <c r="Y201" s="1"/>
      <c r="Z201" s="1"/>
      <c r="AA201" s="1"/>
      <c r="AB201" s="1"/>
      <c r="AC201" s="1"/>
      <c r="AD201" s="1"/>
      <c r="AE201" s="1"/>
      <c r="AQ201" s="1"/>
    </row>
    <row r="202" spans="11:43" x14ac:dyDescent="0.25">
      <c r="K202" s="1"/>
      <c r="L202" s="1"/>
      <c r="M202" s="1"/>
      <c r="N202" s="1"/>
      <c r="O202" s="1"/>
      <c r="P202" s="1"/>
      <c r="Q202" s="1"/>
      <c r="R202" s="1"/>
      <c r="S202" s="1"/>
      <c r="T202" s="1"/>
      <c r="U202" s="1"/>
      <c r="V202" s="1"/>
      <c r="W202" s="1"/>
      <c r="X202" s="1"/>
      <c r="Y202" s="1"/>
      <c r="Z202" s="1"/>
      <c r="AA202" s="1"/>
      <c r="AB202" s="1"/>
      <c r="AC202" s="1"/>
      <c r="AD202" s="1"/>
      <c r="AE202" s="1"/>
      <c r="AQ202" s="1"/>
    </row>
    <row r="203" spans="11:43" x14ac:dyDescent="0.25">
      <c r="K203" s="1"/>
      <c r="L203" s="1"/>
      <c r="M203" s="1"/>
      <c r="N203" s="1"/>
      <c r="O203" s="1"/>
      <c r="P203" s="1"/>
      <c r="Q203" s="1"/>
      <c r="R203" s="1"/>
      <c r="S203" s="1"/>
      <c r="T203" s="1"/>
      <c r="U203" s="1"/>
      <c r="V203" s="1"/>
      <c r="W203" s="1"/>
      <c r="X203" s="1"/>
      <c r="Y203" s="1"/>
      <c r="Z203" s="1"/>
      <c r="AA203" s="1"/>
      <c r="AB203" s="1"/>
      <c r="AC203" s="1"/>
      <c r="AD203" s="1"/>
      <c r="AE203" s="1"/>
      <c r="AQ203" s="1"/>
    </row>
    <row r="204" spans="11:43" x14ac:dyDescent="0.25">
      <c r="K204" s="1"/>
      <c r="L204" s="1"/>
      <c r="M204" s="1"/>
      <c r="N204" s="1"/>
      <c r="O204" s="1"/>
      <c r="P204" s="1"/>
      <c r="Q204" s="1"/>
      <c r="R204" s="1"/>
      <c r="S204" s="1"/>
      <c r="T204" s="1"/>
      <c r="U204" s="1"/>
      <c r="V204" s="1"/>
      <c r="W204" s="1"/>
      <c r="X204" s="1"/>
      <c r="Y204" s="1"/>
      <c r="Z204" s="1"/>
      <c r="AA204" s="1"/>
      <c r="AB204" s="1"/>
      <c r="AC204" s="1"/>
      <c r="AD204" s="1"/>
      <c r="AE204" s="1"/>
      <c r="AQ204" s="1"/>
    </row>
    <row r="205" spans="11:43" x14ac:dyDescent="0.25">
      <c r="K205" s="1"/>
      <c r="L205" s="1"/>
      <c r="M205" s="1"/>
      <c r="N205" s="1"/>
      <c r="O205" s="1"/>
      <c r="P205" s="1"/>
      <c r="Q205" s="1"/>
      <c r="R205" s="1"/>
      <c r="S205" s="1"/>
      <c r="T205" s="1"/>
      <c r="U205" s="1"/>
      <c r="V205" s="1"/>
      <c r="W205" s="1"/>
      <c r="X205" s="1"/>
      <c r="Y205" s="1"/>
      <c r="Z205" s="1"/>
      <c r="AA205" s="1"/>
      <c r="AB205" s="1"/>
      <c r="AC205" s="1"/>
      <c r="AD205" s="1"/>
      <c r="AE205" s="1"/>
      <c r="AQ205" s="1"/>
    </row>
    <row r="206" spans="11:43" x14ac:dyDescent="0.25">
      <c r="K206" s="1"/>
      <c r="L206" s="1"/>
      <c r="M206" s="1"/>
      <c r="N206" s="1"/>
      <c r="O206" s="1"/>
      <c r="P206" s="1"/>
      <c r="Q206" s="1"/>
      <c r="R206" s="1"/>
      <c r="S206" s="1"/>
      <c r="T206" s="1"/>
      <c r="U206" s="1"/>
      <c r="V206" s="1"/>
      <c r="W206" s="1"/>
      <c r="X206" s="1"/>
      <c r="Y206" s="1"/>
      <c r="Z206" s="1"/>
      <c r="AA206" s="1"/>
      <c r="AB206" s="1"/>
      <c r="AC206" s="1"/>
      <c r="AD206" s="1"/>
      <c r="AE206" s="1"/>
      <c r="AQ206" s="1"/>
    </row>
    <row r="207" spans="11:43" x14ac:dyDescent="0.25">
      <c r="K207" s="1"/>
      <c r="L207" s="1"/>
      <c r="M207" s="1"/>
      <c r="N207" s="1"/>
      <c r="O207" s="1"/>
      <c r="P207" s="1"/>
      <c r="Q207" s="1"/>
      <c r="R207" s="1"/>
      <c r="S207" s="1"/>
      <c r="T207" s="1"/>
      <c r="U207" s="1"/>
      <c r="V207" s="1"/>
      <c r="W207" s="1"/>
      <c r="X207" s="1"/>
      <c r="Y207" s="1"/>
      <c r="Z207" s="1"/>
      <c r="AA207" s="1"/>
      <c r="AB207" s="1"/>
      <c r="AC207" s="1"/>
      <c r="AD207" s="1"/>
      <c r="AE207" s="1"/>
      <c r="AQ207" s="1"/>
    </row>
    <row r="208" spans="11:43" x14ac:dyDescent="0.25">
      <c r="K208" s="1"/>
      <c r="L208" s="1"/>
      <c r="M208" s="1"/>
      <c r="N208" s="1"/>
      <c r="O208" s="1"/>
      <c r="P208" s="1"/>
      <c r="Q208" s="1"/>
      <c r="R208" s="1"/>
      <c r="S208" s="1"/>
      <c r="T208" s="1"/>
      <c r="U208" s="1"/>
      <c r="V208" s="1"/>
      <c r="W208" s="1"/>
      <c r="X208" s="1"/>
      <c r="Y208" s="1"/>
      <c r="Z208" s="1"/>
      <c r="AA208" s="1"/>
      <c r="AB208" s="1"/>
      <c r="AC208" s="1"/>
      <c r="AD208" s="1"/>
      <c r="AE208" s="1"/>
      <c r="AQ208" s="1"/>
    </row>
    <row r="209" spans="11:43" x14ac:dyDescent="0.25">
      <c r="K209" s="1"/>
      <c r="L209" s="1"/>
      <c r="M209" s="1"/>
      <c r="N209" s="1"/>
      <c r="O209" s="1"/>
      <c r="P209" s="1"/>
      <c r="Q209" s="1"/>
      <c r="R209" s="1"/>
      <c r="S209" s="1"/>
      <c r="T209" s="1"/>
      <c r="U209" s="1"/>
      <c r="V209" s="1"/>
      <c r="W209" s="1"/>
      <c r="X209" s="1"/>
      <c r="Y209" s="1"/>
      <c r="Z209" s="1"/>
      <c r="AA209" s="1"/>
      <c r="AB209" s="1"/>
      <c r="AC209" s="1"/>
      <c r="AD209" s="1"/>
      <c r="AE209" s="1"/>
      <c r="AQ209" s="1"/>
    </row>
    <row r="210" spans="11:43" x14ac:dyDescent="0.25">
      <c r="K210" s="1"/>
      <c r="L210" s="1"/>
      <c r="M210" s="1"/>
      <c r="N210" s="1"/>
      <c r="O210" s="1"/>
      <c r="P210" s="1"/>
      <c r="Q210" s="1"/>
      <c r="R210" s="1"/>
      <c r="S210" s="1"/>
      <c r="T210" s="1"/>
      <c r="U210" s="1"/>
      <c r="V210" s="1"/>
      <c r="W210" s="1"/>
      <c r="X210" s="1"/>
      <c r="Y210" s="1"/>
      <c r="Z210" s="1"/>
      <c r="AA210" s="1"/>
      <c r="AB210" s="1"/>
      <c r="AC210" s="1"/>
      <c r="AD210" s="1"/>
      <c r="AE210" s="1"/>
      <c r="AQ210" s="1"/>
    </row>
    <row r="211" spans="11:43" x14ac:dyDescent="0.25">
      <c r="K211" s="1"/>
      <c r="L211" s="1"/>
      <c r="M211" s="1"/>
      <c r="N211" s="1"/>
      <c r="O211" s="1"/>
      <c r="P211" s="1"/>
      <c r="Q211" s="1"/>
      <c r="R211" s="1"/>
      <c r="S211" s="1"/>
      <c r="T211" s="1"/>
      <c r="U211" s="1"/>
      <c r="V211" s="1"/>
      <c r="W211" s="1"/>
      <c r="X211" s="1"/>
      <c r="Y211" s="1"/>
      <c r="Z211" s="1"/>
      <c r="AA211" s="1"/>
      <c r="AB211" s="1"/>
      <c r="AC211" s="1"/>
      <c r="AD211" s="1"/>
      <c r="AE211" s="1"/>
      <c r="AQ211" s="1"/>
    </row>
    <row r="212" spans="11:43" x14ac:dyDescent="0.25">
      <c r="K212" s="1"/>
      <c r="L212" s="1"/>
      <c r="M212" s="1"/>
      <c r="N212" s="1"/>
      <c r="O212" s="1"/>
      <c r="P212" s="1"/>
      <c r="Q212" s="1"/>
      <c r="R212" s="1"/>
      <c r="S212" s="1"/>
      <c r="T212" s="1"/>
      <c r="U212" s="1"/>
      <c r="V212" s="1"/>
      <c r="W212" s="1"/>
      <c r="X212" s="1"/>
      <c r="Y212" s="1"/>
      <c r="Z212" s="1"/>
      <c r="AA212" s="1"/>
      <c r="AB212" s="1"/>
      <c r="AC212" s="1"/>
      <c r="AD212" s="1"/>
      <c r="AE212" s="1"/>
      <c r="AQ212" s="1"/>
    </row>
    <row r="213" spans="11:43" x14ac:dyDescent="0.25">
      <c r="K213" s="1"/>
      <c r="L213" s="1"/>
      <c r="M213" s="1"/>
      <c r="N213" s="1"/>
      <c r="O213" s="1"/>
      <c r="P213" s="1"/>
      <c r="Q213" s="1"/>
      <c r="R213" s="1"/>
      <c r="S213" s="1"/>
      <c r="T213" s="1"/>
      <c r="U213" s="1"/>
      <c r="V213" s="1"/>
      <c r="W213" s="1"/>
      <c r="X213" s="1"/>
      <c r="Y213" s="1"/>
      <c r="Z213" s="1"/>
      <c r="AA213" s="1"/>
      <c r="AB213" s="1"/>
      <c r="AC213" s="1"/>
      <c r="AD213" s="1"/>
      <c r="AE213" s="1"/>
      <c r="AQ213" s="1"/>
    </row>
    <row r="214" spans="11:43" x14ac:dyDescent="0.25">
      <c r="K214" s="1"/>
      <c r="L214" s="1"/>
      <c r="M214" s="1"/>
      <c r="N214" s="1"/>
      <c r="O214" s="1"/>
      <c r="P214" s="1"/>
      <c r="Q214" s="1"/>
      <c r="R214" s="1"/>
      <c r="S214" s="1"/>
      <c r="T214" s="1"/>
      <c r="U214" s="1"/>
      <c r="V214" s="1"/>
      <c r="W214" s="1"/>
      <c r="X214" s="1"/>
      <c r="Y214" s="1"/>
      <c r="Z214" s="1"/>
      <c r="AA214" s="1"/>
      <c r="AB214" s="1"/>
      <c r="AC214" s="1"/>
      <c r="AD214" s="1"/>
      <c r="AE214" s="1"/>
      <c r="AQ214" s="1"/>
    </row>
    <row r="215" spans="11:43" x14ac:dyDescent="0.25">
      <c r="K215" s="1"/>
      <c r="L215" s="1"/>
      <c r="M215" s="1"/>
      <c r="N215" s="1"/>
      <c r="O215" s="1"/>
      <c r="P215" s="1"/>
      <c r="Q215" s="1"/>
      <c r="R215" s="1"/>
      <c r="S215" s="1"/>
      <c r="T215" s="1"/>
      <c r="U215" s="1"/>
      <c r="V215" s="1"/>
      <c r="W215" s="1"/>
      <c r="X215" s="1"/>
      <c r="Y215" s="1"/>
      <c r="Z215" s="1"/>
      <c r="AA215" s="1"/>
      <c r="AB215" s="1"/>
      <c r="AC215" s="1"/>
      <c r="AD215" s="1"/>
      <c r="AE215" s="1"/>
      <c r="AQ215" s="1"/>
    </row>
    <row r="216" spans="11:43" x14ac:dyDescent="0.25">
      <c r="K216" s="1"/>
      <c r="L216" s="1"/>
      <c r="M216" s="1"/>
      <c r="N216" s="1"/>
      <c r="O216" s="1"/>
      <c r="P216" s="1"/>
      <c r="Q216" s="1"/>
      <c r="R216" s="1"/>
      <c r="S216" s="1"/>
      <c r="T216" s="1"/>
      <c r="U216" s="1"/>
      <c r="V216" s="1"/>
      <c r="W216" s="1"/>
      <c r="X216" s="1"/>
      <c r="Y216" s="1"/>
      <c r="Z216" s="1"/>
      <c r="AA216" s="1"/>
      <c r="AB216" s="1"/>
      <c r="AC216" s="1"/>
      <c r="AD216" s="1"/>
      <c r="AE216" s="1"/>
      <c r="AQ216" s="1"/>
    </row>
    <row r="217" spans="11:43" x14ac:dyDescent="0.25">
      <c r="K217" s="1"/>
      <c r="L217" s="1"/>
      <c r="M217" s="1"/>
      <c r="N217" s="1"/>
      <c r="O217" s="1"/>
      <c r="P217" s="1"/>
      <c r="Q217" s="1"/>
      <c r="R217" s="1"/>
      <c r="S217" s="1"/>
      <c r="T217" s="1"/>
      <c r="U217" s="1"/>
      <c r="V217" s="1"/>
      <c r="W217" s="1"/>
      <c r="X217" s="1"/>
      <c r="Y217" s="1"/>
      <c r="Z217" s="1"/>
      <c r="AA217" s="1"/>
      <c r="AB217" s="1"/>
      <c r="AC217" s="1"/>
      <c r="AD217" s="1"/>
      <c r="AE217" s="1"/>
      <c r="AQ217" s="1"/>
    </row>
    <row r="218" spans="11:43" x14ac:dyDescent="0.25">
      <c r="K218" s="1"/>
      <c r="L218" s="1"/>
      <c r="M218" s="1"/>
      <c r="N218" s="1"/>
      <c r="O218" s="1"/>
      <c r="P218" s="1"/>
      <c r="Q218" s="1"/>
      <c r="R218" s="1"/>
      <c r="S218" s="1"/>
      <c r="T218" s="1"/>
      <c r="U218" s="1"/>
      <c r="V218" s="1"/>
      <c r="W218" s="1"/>
      <c r="X218" s="1"/>
      <c r="Y218" s="1"/>
      <c r="Z218" s="1"/>
      <c r="AA218" s="1"/>
      <c r="AB218" s="1"/>
      <c r="AC218" s="1"/>
      <c r="AD218" s="1"/>
      <c r="AE218" s="1"/>
      <c r="AQ218" s="1"/>
    </row>
    <row r="219" spans="11:43" x14ac:dyDescent="0.25">
      <c r="K219" s="1"/>
      <c r="L219" s="1"/>
      <c r="M219" s="1"/>
      <c r="N219" s="1"/>
      <c r="O219" s="1"/>
      <c r="P219" s="1"/>
      <c r="Q219" s="1"/>
      <c r="R219" s="1"/>
      <c r="S219" s="1"/>
      <c r="T219" s="1"/>
      <c r="U219" s="1"/>
      <c r="V219" s="1"/>
      <c r="W219" s="1"/>
      <c r="X219" s="1"/>
      <c r="Y219" s="1"/>
      <c r="Z219" s="1"/>
      <c r="AA219" s="1"/>
      <c r="AB219" s="1"/>
      <c r="AC219" s="1"/>
      <c r="AD219" s="1"/>
      <c r="AE219" s="1"/>
      <c r="AQ219" s="1"/>
    </row>
    <row r="220" spans="11:43" x14ac:dyDescent="0.25">
      <c r="K220" s="1"/>
      <c r="L220" s="1"/>
      <c r="M220" s="1"/>
      <c r="N220" s="1"/>
      <c r="O220" s="1"/>
      <c r="P220" s="1"/>
      <c r="Q220" s="1"/>
      <c r="R220" s="1"/>
      <c r="S220" s="1"/>
      <c r="T220" s="1"/>
      <c r="U220" s="1"/>
      <c r="V220" s="1"/>
      <c r="W220" s="1"/>
      <c r="X220" s="1"/>
      <c r="Y220" s="1"/>
      <c r="Z220" s="1"/>
      <c r="AA220" s="1"/>
      <c r="AB220" s="1"/>
      <c r="AC220" s="1"/>
      <c r="AD220" s="1"/>
      <c r="AE220" s="1"/>
      <c r="AQ220" s="1"/>
    </row>
    <row r="221" spans="11:43" x14ac:dyDescent="0.25">
      <c r="K221" s="1"/>
      <c r="L221" s="1"/>
      <c r="M221" s="1"/>
      <c r="N221" s="1"/>
      <c r="O221" s="1"/>
      <c r="P221" s="1"/>
      <c r="Q221" s="1"/>
      <c r="R221" s="1"/>
      <c r="S221" s="1"/>
      <c r="T221" s="1"/>
      <c r="U221" s="1"/>
      <c r="V221" s="1"/>
      <c r="W221" s="1"/>
      <c r="X221" s="1"/>
      <c r="Y221" s="1"/>
      <c r="Z221" s="1"/>
      <c r="AA221" s="1"/>
      <c r="AB221" s="1"/>
      <c r="AC221" s="1"/>
      <c r="AD221" s="1"/>
      <c r="AE221" s="1"/>
      <c r="AQ221" s="1"/>
    </row>
    <row r="222" spans="11:43" x14ac:dyDescent="0.25">
      <c r="K222" s="1"/>
      <c r="L222" s="1"/>
      <c r="M222" s="1"/>
      <c r="N222" s="1"/>
      <c r="O222" s="1"/>
      <c r="P222" s="1"/>
      <c r="Q222" s="1"/>
      <c r="R222" s="1"/>
      <c r="S222" s="1"/>
      <c r="T222" s="1"/>
      <c r="U222" s="1"/>
      <c r="V222" s="1"/>
      <c r="W222" s="1"/>
      <c r="X222" s="1"/>
      <c r="Y222" s="1"/>
      <c r="Z222" s="1"/>
      <c r="AA222" s="1"/>
      <c r="AB222" s="1"/>
      <c r="AC222" s="1"/>
      <c r="AD222" s="1"/>
      <c r="AE222" s="1"/>
      <c r="AQ222" s="1"/>
    </row>
    <row r="223" spans="11:43" x14ac:dyDescent="0.25">
      <c r="K223" s="1"/>
      <c r="L223" s="1"/>
      <c r="M223" s="1"/>
      <c r="N223" s="1"/>
      <c r="O223" s="1"/>
      <c r="P223" s="1"/>
      <c r="Q223" s="1"/>
      <c r="R223" s="1"/>
      <c r="S223" s="1"/>
      <c r="T223" s="1"/>
      <c r="U223" s="1"/>
      <c r="V223" s="1"/>
      <c r="W223" s="1"/>
      <c r="X223" s="1"/>
      <c r="Y223" s="1"/>
      <c r="Z223" s="1"/>
      <c r="AA223" s="1"/>
      <c r="AB223" s="1"/>
      <c r="AC223" s="1"/>
      <c r="AD223" s="1"/>
      <c r="AE223" s="1"/>
      <c r="AQ223" s="1"/>
    </row>
    <row r="224" spans="11:43" x14ac:dyDescent="0.25">
      <c r="K224" s="1"/>
      <c r="L224" s="1"/>
      <c r="M224" s="1"/>
      <c r="N224" s="1"/>
      <c r="O224" s="1"/>
      <c r="P224" s="1"/>
      <c r="Q224" s="1"/>
      <c r="R224" s="1"/>
      <c r="S224" s="1"/>
      <c r="T224" s="1"/>
      <c r="U224" s="1"/>
      <c r="V224" s="1"/>
      <c r="W224" s="1"/>
      <c r="X224" s="1"/>
      <c r="Y224" s="1"/>
      <c r="Z224" s="1"/>
      <c r="AA224" s="1"/>
      <c r="AB224" s="1"/>
      <c r="AC224" s="1"/>
      <c r="AD224" s="1"/>
      <c r="AE224" s="1"/>
      <c r="AQ224" s="1"/>
    </row>
    <row r="225" spans="11:43" x14ac:dyDescent="0.25">
      <c r="K225" s="1"/>
      <c r="L225" s="1"/>
      <c r="M225" s="1"/>
      <c r="N225" s="1"/>
      <c r="O225" s="1"/>
      <c r="P225" s="1"/>
      <c r="Q225" s="1"/>
      <c r="R225" s="1"/>
      <c r="S225" s="1"/>
      <c r="T225" s="1"/>
      <c r="U225" s="1"/>
      <c r="V225" s="1"/>
      <c r="W225" s="1"/>
      <c r="X225" s="1"/>
      <c r="Y225" s="1"/>
      <c r="Z225" s="1"/>
      <c r="AA225" s="1"/>
      <c r="AB225" s="1"/>
      <c r="AC225" s="1"/>
      <c r="AD225" s="1"/>
      <c r="AE225" s="1"/>
      <c r="AQ225" s="1"/>
    </row>
    <row r="226" spans="11:43" x14ac:dyDescent="0.25">
      <c r="K226" s="1"/>
      <c r="L226" s="1"/>
      <c r="M226" s="1"/>
      <c r="N226" s="1"/>
      <c r="O226" s="1"/>
      <c r="P226" s="1"/>
      <c r="Q226" s="1"/>
      <c r="R226" s="1"/>
      <c r="S226" s="1"/>
      <c r="T226" s="1"/>
      <c r="U226" s="1"/>
      <c r="V226" s="1"/>
      <c r="W226" s="1"/>
      <c r="X226" s="1"/>
      <c r="Y226" s="1"/>
      <c r="Z226" s="1"/>
      <c r="AA226" s="1"/>
      <c r="AB226" s="1"/>
      <c r="AC226" s="1"/>
      <c r="AD226" s="1"/>
      <c r="AE226" s="1"/>
      <c r="AQ226" s="1"/>
    </row>
    <row r="227" spans="11:43" x14ac:dyDescent="0.25">
      <c r="K227" s="1"/>
      <c r="L227" s="1"/>
      <c r="M227" s="1"/>
      <c r="N227" s="1"/>
      <c r="O227" s="1"/>
      <c r="P227" s="1"/>
      <c r="Q227" s="1"/>
      <c r="R227" s="1"/>
      <c r="S227" s="1"/>
      <c r="T227" s="1"/>
      <c r="U227" s="1"/>
      <c r="V227" s="1"/>
      <c r="W227" s="1"/>
      <c r="X227" s="1"/>
      <c r="Y227" s="1"/>
      <c r="Z227" s="1"/>
      <c r="AA227" s="1"/>
      <c r="AB227" s="1"/>
      <c r="AC227" s="1"/>
      <c r="AD227" s="1"/>
      <c r="AE227" s="1"/>
      <c r="AQ227" s="1"/>
    </row>
    <row r="228" spans="11:43" x14ac:dyDescent="0.25">
      <c r="K228" s="1"/>
      <c r="L228" s="1"/>
      <c r="M228" s="1"/>
      <c r="N228" s="1"/>
      <c r="O228" s="1"/>
      <c r="P228" s="1"/>
      <c r="Q228" s="1"/>
      <c r="R228" s="1"/>
      <c r="S228" s="1"/>
      <c r="T228" s="1"/>
      <c r="U228" s="1"/>
      <c r="V228" s="1"/>
      <c r="W228" s="1"/>
      <c r="X228" s="1"/>
      <c r="Y228" s="1"/>
      <c r="Z228" s="1"/>
      <c r="AA228" s="1"/>
      <c r="AB228" s="1"/>
      <c r="AC228" s="1"/>
      <c r="AD228" s="1"/>
      <c r="AE228" s="1"/>
      <c r="AQ228" s="1"/>
    </row>
    <row r="229" spans="11:43" x14ac:dyDescent="0.25">
      <c r="K229" s="1"/>
      <c r="L229" s="1"/>
      <c r="M229" s="1"/>
      <c r="N229" s="1"/>
      <c r="O229" s="1"/>
      <c r="P229" s="1"/>
      <c r="Q229" s="1"/>
      <c r="R229" s="1"/>
      <c r="S229" s="1"/>
      <c r="T229" s="1"/>
      <c r="U229" s="1"/>
      <c r="V229" s="1"/>
      <c r="W229" s="1"/>
      <c r="X229" s="1"/>
      <c r="Y229" s="1"/>
      <c r="Z229" s="1"/>
      <c r="AA229" s="1"/>
      <c r="AB229" s="1"/>
      <c r="AC229" s="1"/>
      <c r="AD229" s="1"/>
      <c r="AE229" s="1"/>
      <c r="AQ229" s="1"/>
    </row>
    <row r="230" spans="11:43" x14ac:dyDescent="0.25">
      <c r="K230" s="1"/>
      <c r="L230" s="1"/>
      <c r="M230" s="1"/>
      <c r="N230" s="1"/>
      <c r="O230" s="1"/>
      <c r="P230" s="1"/>
      <c r="Q230" s="1"/>
      <c r="R230" s="1"/>
      <c r="S230" s="1"/>
      <c r="T230" s="1"/>
      <c r="U230" s="1"/>
      <c r="V230" s="1"/>
      <c r="W230" s="1"/>
      <c r="X230" s="1"/>
      <c r="Y230" s="1"/>
      <c r="Z230" s="1"/>
      <c r="AA230" s="1"/>
      <c r="AB230" s="1"/>
      <c r="AC230" s="1"/>
      <c r="AD230" s="1"/>
      <c r="AE230" s="1"/>
      <c r="AQ230" s="1"/>
    </row>
    <row r="231" spans="11:43" x14ac:dyDescent="0.25">
      <c r="K231" s="1"/>
      <c r="L231" s="1"/>
      <c r="M231" s="1"/>
      <c r="N231" s="1"/>
      <c r="O231" s="1"/>
      <c r="P231" s="1"/>
      <c r="Q231" s="1"/>
      <c r="R231" s="1"/>
      <c r="S231" s="1"/>
      <c r="T231" s="1"/>
      <c r="U231" s="1"/>
      <c r="V231" s="1"/>
      <c r="W231" s="1"/>
      <c r="X231" s="1"/>
      <c r="Y231" s="1"/>
      <c r="Z231" s="1"/>
      <c r="AA231" s="1"/>
      <c r="AB231" s="1"/>
      <c r="AC231" s="1"/>
      <c r="AD231" s="1"/>
      <c r="AE231" s="1"/>
      <c r="AQ231" s="1"/>
    </row>
    <row r="232" spans="11:43" x14ac:dyDescent="0.25">
      <c r="K232" s="1"/>
      <c r="L232" s="1"/>
      <c r="M232" s="1"/>
      <c r="N232" s="1"/>
      <c r="O232" s="1"/>
      <c r="P232" s="1"/>
      <c r="Q232" s="1"/>
      <c r="R232" s="1"/>
      <c r="S232" s="1"/>
      <c r="T232" s="1"/>
      <c r="U232" s="1"/>
      <c r="V232" s="1"/>
      <c r="W232" s="1"/>
      <c r="X232" s="1"/>
      <c r="Y232" s="1"/>
      <c r="Z232" s="1"/>
      <c r="AA232" s="1"/>
      <c r="AB232" s="1"/>
      <c r="AC232" s="1"/>
      <c r="AD232" s="1"/>
      <c r="AE232" s="1"/>
      <c r="AQ232" s="1"/>
    </row>
    <row r="233" spans="11:43" x14ac:dyDescent="0.25">
      <c r="K233" s="1"/>
      <c r="L233" s="1"/>
      <c r="M233" s="1"/>
      <c r="N233" s="1"/>
      <c r="O233" s="1"/>
      <c r="P233" s="1"/>
      <c r="Q233" s="1"/>
      <c r="R233" s="1"/>
      <c r="S233" s="1"/>
      <c r="T233" s="1"/>
      <c r="U233" s="1"/>
      <c r="V233" s="1"/>
      <c r="W233" s="1"/>
      <c r="X233" s="1"/>
      <c r="Y233" s="1"/>
      <c r="Z233" s="1"/>
      <c r="AA233" s="1"/>
      <c r="AB233" s="1"/>
      <c r="AC233" s="1"/>
      <c r="AD233" s="1"/>
      <c r="AE233" s="1"/>
      <c r="AQ233" s="1"/>
    </row>
    <row r="234" spans="11:43" x14ac:dyDescent="0.25">
      <c r="K234" s="1"/>
      <c r="L234" s="1"/>
      <c r="M234" s="1"/>
      <c r="N234" s="1"/>
      <c r="O234" s="1"/>
      <c r="P234" s="1"/>
      <c r="Q234" s="1"/>
      <c r="R234" s="1"/>
      <c r="S234" s="1"/>
      <c r="T234" s="1"/>
      <c r="U234" s="1"/>
      <c r="V234" s="1"/>
      <c r="W234" s="1"/>
      <c r="X234" s="1"/>
      <c r="Y234" s="1"/>
      <c r="Z234" s="1"/>
      <c r="AA234" s="1"/>
      <c r="AB234" s="1"/>
      <c r="AC234" s="1"/>
      <c r="AD234" s="1"/>
      <c r="AE234" s="1"/>
      <c r="AQ234" s="1"/>
    </row>
    <row r="235" spans="11:43" x14ac:dyDescent="0.25">
      <c r="K235" s="1"/>
      <c r="L235" s="1"/>
      <c r="M235" s="1"/>
      <c r="N235" s="1"/>
      <c r="O235" s="1"/>
      <c r="P235" s="1"/>
      <c r="Q235" s="1"/>
      <c r="R235" s="1"/>
      <c r="S235" s="1"/>
      <c r="T235" s="1"/>
      <c r="U235" s="1"/>
      <c r="V235" s="1"/>
      <c r="W235" s="1"/>
      <c r="X235" s="1"/>
      <c r="Y235" s="1"/>
      <c r="Z235" s="1"/>
      <c r="AA235" s="1"/>
      <c r="AB235" s="1"/>
      <c r="AC235" s="1"/>
      <c r="AD235" s="1"/>
      <c r="AE235" s="1"/>
      <c r="AQ235" s="1"/>
    </row>
    <row r="236" spans="11:43" x14ac:dyDescent="0.25">
      <c r="K236" s="1"/>
      <c r="L236" s="1"/>
      <c r="M236" s="1"/>
      <c r="N236" s="1"/>
      <c r="O236" s="1"/>
      <c r="P236" s="1"/>
      <c r="Q236" s="1"/>
      <c r="R236" s="1"/>
      <c r="S236" s="1"/>
      <c r="T236" s="1"/>
      <c r="U236" s="1"/>
      <c r="V236" s="1"/>
      <c r="W236" s="1"/>
      <c r="X236" s="1"/>
      <c r="Y236" s="1"/>
      <c r="Z236" s="1"/>
      <c r="AA236" s="1"/>
      <c r="AB236" s="1"/>
      <c r="AC236" s="1"/>
      <c r="AD236" s="1"/>
      <c r="AE236" s="1"/>
      <c r="AQ236" s="1"/>
    </row>
    <row r="237" spans="11:43" x14ac:dyDescent="0.25">
      <c r="K237" s="1"/>
      <c r="L237" s="1"/>
      <c r="M237" s="1"/>
      <c r="N237" s="1"/>
      <c r="O237" s="1"/>
      <c r="P237" s="1"/>
      <c r="Q237" s="1"/>
      <c r="R237" s="1"/>
      <c r="S237" s="1"/>
      <c r="T237" s="1"/>
      <c r="U237" s="1"/>
      <c r="V237" s="1"/>
      <c r="W237" s="1"/>
      <c r="X237" s="1"/>
      <c r="Y237" s="1"/>
      <c r="Z237" s="1"/>
      <c r="AA237" s="1"/>
      <c r="AB237" s="1"/>
      <c r="AC237" s="1"/>
      <c r="AD237" s="1"/>
      <c r="AE237" s="1"/>
      <c r="AQ237" s="1"/>
    </row>
    <row r="238" spans="11:43" x14ac:dyDescent="0.25">
      <c r="K238" s="1"/>
      <c r="L238" s="1"/>
      <c r="M238" s="1"/>
      <c r="N238" s="1"/>
      <c r="O238" s="1"/>
      <c r="P238" s="1"/>
      <c r="Q238" s="1"/>
      <c r="R238" s="1"/>
      <c r="S238" s="1"/>
      <c r="T238" s="1"/>
      <c r="U238" s="1"/>
      <c r="V238" s="1"/>
      <c r="W238" s="1"/>
      <c r="X238" s="1"/>
      <c r="Y238" s="1"/>
      <c r="Z238" s="1"/>
      <c r="AA238" s="1"/>
      <c r="AB238" s="1"/>
      <c r="AC238" s="1"/>
      <c r="AD238" s="1"/>
      <c r="AE238" s="1"/>
      <c r="AQ238" s="1"/>
    </row>
    <row r="239" spans="11:43" x14ac:dyDescent="0.25">
      <c r="K239" s="1"/>
      <c r="L239" s="1"/>
      <c r="M239" s="1"/>
      <c r="N239" s="1"/>
      <c r="O239" s="1"/>
      <c r="P239" s="1"/>
      <c r="Q239" s="1"/>
      <c r="R239" s="1"/>
      <c r="S239" s="1"/>
      <c r="T239" s="1"/>
      <c r="U239" s="1"/>
      <c r="V239" s="1"/>
      <c r="W239" s="1"/>
      <c r="X239" s="1"/>
      <c r="Y239" s="1"/>
      <c r="Z239" s="1"/>
      <c r="AA239" s="1"/>
      <c r="AB239" s="1"/>
      <c r="AC239" s="1"/>
      <c r="AD239" s="1"/>
      <c r="AE239" s="1"/>
      <c r="AQ239" s="1"/>
    </row>
    <row r="240" spans="11:43" x14ac:dyDescent="0.25">
      <c r="K240" s="1"/>
      <c r="L240" s="1"/>
      <c r="M240" s="1"/>
      <c r="N240" s="1"/>
      <c r="O240" s="1"/>
      <c r="P240" s="1"/>
      <c r="Q240" s="1"/>
      <c r="R240" s="1"/>
      <c r="S240" s="1"/>
      <c r="T240" s="1"/>
      <c r="U240" s="1"/>
      <c r="V240" s="1"/>
      <c r="W240" s="1"/>
      <c r="X240" s="1"/>
      <c r="Y240" s="1"/>
      <c r="Z240" s="1"/>
      <c r="AA240" s="1"/>
      <c r="AB240" s="1"/>
      <c r="AC240" s="1"/>
      <c r="AD240" s="1"/>
      <c r="AE240" s="1"/>
      <c r="AQ240" s="1"/>
    </row>
    <row r="241" spans="11:43" x14ac:dyDescent="0.25">
      <c r="K241" s="1"/>
      <c r="L241" s="1"/>
      <c r="M241" s="1"/>
      <c r="N241" s="1"/>
      <c r="O241" s="1"/>
      <c r="P241" s="1"/>
      <c r="Q241" s="1"/>
      <c r="R241" s="1"/>
      <c r="S241" s="1"/>
      <c r="T241" s="1"/>
      <c r="U241" s="1"/>
      <c r="V241" s="1"/>
      <c r="W241" s="1"/>
      <c r="X241" s="1"/>
      <c r="Y241" s="1"/>
      <c r="Z241" s="1"/>
      <c r="AA241" s="1"/>
      <c r="AB241" s="1"/>
      <c r="AC241" s="1"/>
      <c r="AD241" s="1"/>
      <c r="AE241" s="1"/>
      <c r="AQ241" s="1"/>
    </row>
    <row r="242" spans="11:43" x14ac:dyDescent="0.25">
      <c r="K242" s="1"/>
      <c r="L242" s="1"/>
      <c r="M242" s="1"/>
      <c r="N242" s="1"/>
      <c r="O242" s="1"/>
      <c r="P242" s="1"/>
      <c r="Q242" s="1"/>
      <c r="R242" s="1"/>
      <c r="S242" s="1"/>
      <c r="T242" s="1"/>
      <c r="U242" s="1"/>
      <c r="V242" s="1"/>
      <c r="W242" s="1"/>
      <c r="X242" s="1"/>
      <c r="Y242" s="1"/>
      <c r="Z242" s="1"/>
      <c r="AA242" s="1"/>
      <c r="AB242" s="1"/>
      <c r="AC242" s="1"/>
      <c r="AD242" s="1"/>
      <c r="AE242" s="1"/>
      <c r="AQ242" s="1"/>
    </row>
    <row r="243" spans="11:43" x14ac:dyDescent="0.25">
      <c r="K243" s="1"/>
      <c r="L243" s="1"/>
      <c r="M243" s="1"/>
      <c r="N243" s="1"/>
      <c r="O243" s="1"/>
      <c r="P243" s="1"/>
      <c r="Q243" s="1"/>
      <c r="R243" s="1"/>
      <c r="S243" s="1"/>
      <c r="T243" s="1"/>
      <c r="U243" s="1"/>
      <c r="V243" s="1"/>
      <c r="W243" s="1"/>
      <c r="X243" s="1"/>
      <c r="Y243" s="1"/>
      <c r="Z243" s="1"/>
      <c r="AA243" s="1"/>
      <c r="AB243" s="1"/>
      <c r="AC243" s="1"/>
      <c r="AD243" s="1"/>
      <c r="AE243" s="1"/>
      <c r="AQ243" s="1"/>
    </row>
    <row r="244" spans="11:43" x14ac:dyDescent="0.25">
      <c r="K244" s="1"/>
      <c r="L244" s="1"/>
      <c r="M244" s="1"/>
      <c r="N244" s="1"/>
      <c r="O244" s="1"/>
      <c r="P244" s="1"/>
      <c r="Q244" s="1"/>
      <c r="R244" s="1"/>
      <c r="S244" s="1"/>
      <c r="T244" s="1"/>
      <c r="U244" s="1"/>
      <c r="V244" s="1"/>
      <c r="W244" s="1"/>
      <c r="X244" s="1"/>
      <c r="Y244" s="1"/>
      <c r="Z244" s="1"/>
      <c r="AA244" s="1"/>
      <c r="AB244" s="1"/>
      <c r="AC244" s="1"/>
      <c r="AD244" s="1"/>
      <c r="AE244" s="1"/>
      <c r="AQ244" s="1"/>
    </row>
    <row r="245" spans="11:43" x14ac:dyDescent="0.25">
      <c r="K245" s="1"/>
      <c r="L245" s="1"/>
      <c r="M245" s="1"/>
      <c r="N245" s="1"/>
      <c r="O245" s="1"/>
      <c r="P245" s="1"/>
      <c r="Q245" s="1"/>
      <c r="R245" s="1"/>
      <c r="S245" s="1"/>
      <c r="T245" s="1"/>
      <c r="U245" s="1"/>
      <c r="V245" s="1"/>
      <c r="W245" s="1"/>
      <c r="X245" s="1"/>
      <c r="Y245" s="1"/>
      <c r="Z245" s="1"/>
      <c r="AA245" s="1"/>
      <c r="AB245" s="1"/>
      <c r="AC245" s="1"/>
      <c r="AD245" s="1"/>
      <c r="AE245" s="1"/>
      <c r="AQ245" s="1"/>
    </row>
    <row r="246" spans="11:43" x14ac:dyDescent="0.25">
      <c r="K246" s="1"/>
      <c r="L246" s="1"/>
      <c r="M246" s="1"/>
      <c r="N246" s="1"/>
      <c r="O246" s="1"/>
      <c r="P246" s="1"/>
      <c r="Q246" s="1"/>
      <c r="R246" s="1"/>
      <c r="S246" s="1"/>
      <c r="T246" s="1"/>
      <c r="U246" s="1"/>
      <c r="V246" s="1"/>
      <c r="W246" s="1"/>
      <c r="X246" s="1"/>
      <c r="Y246" s="1"/>
      <c r="Z246" s="1"/>
      <c r="AA246" s="1"/>
      <c r="AB246" s="1"/>
      <c r="AC246" s="1"/>
      <c r="AD246" s="1"/>
      <c r="AE246" s="1"/>
      <c r="AQ246" s="1"/>
    </row>
    <row r="247" spans="11:43" x14ac:dyDescent="0.25">
      <c r="K247" s="1"/>
      <c r="L247" s="1"/>
      <c r="M247" s="1"/>
      <c r="N247" s="1"/>
      <c r="O247" s="1"/>
      <c r="P247" s="1"/>
      <c r="Q247" s="1"/>
      <c r="R247" s="1"/>
      <c r="S247" s="1"/>
      <c r="T247" s="1"/>
      <c r="U247" s="1"/>
      <c r="V247" s="1"/>
      <c r="W247" s="1"/>
      <c r="X247" s="1"/>
      <c r="Y247" s="1"/>
      <c r="Z247" s="1"/>
      <c r="AA247" s="1"/>
      <c r="AB247" s="1"/>
      <c r="AC247" s="1"/>
      <c r="AD247" s="1"/>
      <c r="AE247" s="1"/>
      <c r="AQ247" s="1"/>
    </row>
    <row r="248" spans="11:43" x14ac:dyDescent="0.25">
      <c r="K248" s="1"/>
      <c r="L248" s="1"/>
      <c r="M248" s="1"/>
      <c r="N248" s="1"/>
      <c r="O248" s="1"/>
      <c r="P248" s="1"/>
      <c r="Q248" s="1"/>
      <c r="R248" s="1"/>
      <c r="S248" s="1"/>
      <c r="T248" s="1"/>
      <c r="U248" s="1"/>
      <c r="V248" s="1"/>
      <c r="W248" s="1"/>
      <c r="X248" s="1"/>
      <c r="Y248" s="1"/>
      <c r="Z248" s="1"/>
      <c r="AA248" s="1"/>
      <c r="AB248" s="1"/>
      <c r="AC248" s="1"/>
      <c r="AD248" s="1"/>
      <c r="AE248" s="1"/>
      <c r="AQ248" s="1"/>
    </row>
    <row r="249" spans="11:43" x14ac:dyDescent="0.25">
      <c r="K249" s="1"/>
      <c r="L249" s="1"/>
      <c r="M249" s="1"/>
      <c r="N249" s="1"/>
      <c r="O249" s="1"/>
      <c r="P249" s="1"/>
      <c r="Q249" s="1"/>
      <c r="R249" s="1"/>
      <c r="S249" s="1"/>
      <c r="T249" s="1"/>
      <c r="U249" s="1"/>
      <c r="V249" s="1"/>
      <c r="W249" s="1"/>
      <c r="X249" s="1"/>
      <c r="Y249" s="1"/>
      <c r="Z249" s="1"/>
      <c r="AA249" s="1"/>
      <c r="AB249" s="1"/>
      <c r="AC249" s="1"/>
      <c r="AD249" s="1"/>
      <c r="AE249" s="1"/>
      <c r="AQ249" s="1"/>
    </row>
    <row r="250" spans="11:43" x14ac:dyDescent="0.25">
      <c r="K250" s="1"/>
      <c r="L250" s="1"/>
      <c r="M250" s="1"/>
      <c r="N250" s="1"/>
      <c r="O250" s="1"/>
      <c r="P250" s="1"/>
      <c r="Q250" s="1"/>
      <c r="R250" s="1"/>
      <c r="S250" s="1"/>
      <c r="T250" s="1"/>
      <c r="U250" s="1"/>
      <c r="V250" s="1"/>
      <c r="W250" s="1"/>
      <c r="X250" s="1"/>
      <c r="Y250" s="1"/>
      <c r="Z250" s="1"/>
      <c r="AA250" s="1"/>
      <c r="AB250" s="1"/>
      <c r="AC250" s="1"/>
      <c r="AD250" s="1"/>
      <c r="AE250" s="1"/>
      <c r="AQ250" s="1"/>
    </row>
    <row r="251" spans="11:43" x14ac:dyDescent="0.25">
      <c r="K251" s="1"/>
      <c r="L251" s="1"/>
      <c r="M251" s="1"/>
      <c r="N251" s="1"/>
      <c r="O251" s="1"/>
      <c r="P251" s="1"/>
      <c r="Q251" s="1"/>
      <c r="R251" s="1"/>
      <c r="S251" s="1"/>
      <c r="T251" s="1"/>
      <c r="U251" s="1"/>
      <c r="V251" s="1"/>
      <c r="W251" s="1"/>
      <c r="X251" s="1"/>
      <c r="Y251" s="1"/>
      <c r="Z251" s="1"/>
      <c r="AA251" s="1"/>
      <c r="AB251" s="1"/>
      <c r="AC251" s="1"/>
      <c r="AD251" s="1"/>
      <c r="AE251" s="1"/>
      <c r="AQ251" s="1"/>
    </row>
    <row r="252" spans="11:43" x14ac:dyDescent="0.25">
      <c r="K252" s="1"/>
      <c r="L252" s="1"/>
      <c r="M252" s="1"/>
      <c r="N252" s="1"/>
      <c r="O252" s="1"/>
      <c r="P252" s="1"/>
      <c r="Q252" s="1"/>
      <c r="R252" s="1"/>
      <c r="S252" s="1"/>
      <c r="T252" s="1"/>
      <c r="U252" s="1"/>
      <c r="V252" s="1"/>
      <c r="W252" s="1"/>
      <c r="X252" s="1"/>
      <c r="Y252" s="1"/>
      <c r="Z252" s="1"/>
      <c r="AA252" s="1"/>
      <c r="AB252" s="1"/>
      <c r="AC252" s="1"/>
      <c r="AD252" s="1"/>
      <c r="AE252" s="1"/>
      <c r="AQ252" s="1"/>
    </row>
    <row r="253" spans="11:43" x14ac:dyDescent="0.25">
      <c r="K253" s="1"/>
      <c r="L253" s="1"/>
      <c r="M253" s="1"/>
      <c r="N253" s="1"/>
      <c r="O253" s="1"/>
      <c r="P253" s="1"/>
      <c r="Q253" s="1"/>
      <c r="R253" s="1"/>
      <c r="S253" s="1"/>
      <c r="T253" s="1"/>
      <c r="U253" s="1"/>
      <c r="V253" s="1"/>
      <c r="W253" s="1"/>
      <c r="X253" s="1"/>
      <c r="Y253" s="1"/>
      <c r="Z253" s="1"/>
      <c r="AA253" s="1"/>
      <c r="AB253" s="1"/>
      <c r="AC253" s="1"/>
      <c r="AD253" s="1"/>
      <c r="AE253" s="1"/>
      <c r="AQ253" s="1"/>
    </row>
    <row r="254" spans="11:43" x14ac:dyDescent="0.25">
      <c r="K254" s="1"/>
      <c r="L254" s="1"/>
      <c r="M254" s="1"/>
      <c r="N254" s="1"/>
      <c r="O254" s="1"/>
      <c r="P254" s="1"/>
      <c r="Q254" s="1"/>
      <c r="R254" s="1"/>
      <c r="S254" s="1"/>
      <c r="T254" s="1"/>
      <c r="U254" s="1"/>
      <c r="V254" s="1"/>
      <c r="W254" s="1"/>
      <c r="X254" s="1"/>
      <c r="Y254" s="1"/>
      <c r="Z254" s="1"/>
      <c r="AA254" s="1"/>
      <c r="AB254" s="1"/>
      <c r="AC254" s="1"/>
      <c r="AD254" s="1"/>
      <c r="AE254" s="1"/>
      <c r="AQ254" s="1"/>
    </row>
    <row r="255" spans="11:43" x14ac:dyDescent="0.25">
      <c r="K255" s="1"/>
      <c r="L255" s="1"/>
      <c r="M255" s="1"/>
      <c r="N255" s="1"/>
      <c r="O255" s="1"/>
      <c r="P255" s="1"/>
      <c r="Q255" s="1"/>
      <c r="R255" s="1"/>
      <c r="S255" s="1"/>
      <c r="T255" s="1"/>
      <c r="U255" s="1"/>
      <c r="V255" s="1"/>
      <c r="W255" s="1"/>
      <c r="X255" s="1"/>
      <c r="Y255" s="1"/>
      <c r="Z255" s="1"/>
      <c r="AA255" s="1"/>
      <c r="AB255" s="1"/>
      <c r="AC255" s="1"/>
      <c r="AD255" s="1"/>
      <c r="AE255" s="1"/>
      <c r="AQ255" s="1"/>
    </row>
    <row r="256" spans="11:43" x14ac:dyDescent="0.25">
      <c r="K256" s="1"/>
      <c r="L256" s="1"/>
      <c r="M256" s="1"/>
      <c r="N256" s="1"/>
      <c r="O256" s="1"/>
      <c r="P256" s="1"/>
      <c r="Q256" s="1"/>
      <c r="R256" s="1"/>
      <c r="S256" s="1"/>
      <c r="T256" s="1"/>
      <c r="U256" s="1"/>
      <c r="V256" s="1"/>
      <c r="W256" s="1"/>
      <c r="X256" s="1"/>
      <c r="Y256" s="1"/>
      <c r="Z256" s="1"/>
      <c r="AA256" s="1"/>
      <c r="AB256" s="1"/>
      <c r="AC256" s="1"/>
      <c r="AD256" s="1"/>
      <c r="AE256" s="1"/>
      <c r="AQ256" s="1"/>
    </row>
    <row r="257" spans="11:43" x14ac:dyDescent="0.25">
      <c r="K257" s="1"/>
      <c r="L257" s="1"/>
      <c r="M257" s="1"/>
      <c r="N257" s="1"/>
      <c r="O257" s="1"/>
      <c r="P257" s="1"/>
      <c r="Q257" s="1"/>
      <c r="R257" s="1"/>
      <c r="S257" s="1"/>
      <c r="T257" s="1"/>
      <c r="U257" s="1"/>
      <c r="V257" s="1"/>
      <c r="W257" s="1"/>
      <c r="X257" s="1"/>
      <c r="Y257" s="1"/>
      <c r="Z257" s="1"/>
      <c r="AA257" s="1"/>
      <c r="AB257" s="1"/>
      <c r="AC257" s="1"/>
      <c r="AD257" s="1"/>
      <c r="AE257" s="1"/>
      <c r="AQ257" s="1"/>
    </row>
    <row r="258" spans="11:43" x14ac:dyDescent="0.25">
      <c r="K258" s="1"/>
      <c r="L258" s="1"/>
      <c r="M258" s="1"/>
      <c r="N258" s="1"/>
      <c r="O258" s="1"/>
      <c r="P258" s="1"/>
      <c r="Q258" s="1"/>
      <c r="R258" s="1"/>
      <c r="S258" s="1"/>
      <c r="T258" s="1"/>
      <c r="U258" s="1"/>
      <c r="V258" s="1"/>
      <c r="W258" s="1"/>
      <c r="X258" s="1"/>
      <c r="Y258" s="1"/>
      <c r="Z258" s="1"/>
      <c r="AA258" s="1"/>
      <c r="AB258" s="1"/>
      <c r="AC258" s="1"/>
      <c r="AD258" s="1"/>
      <c r="AE258" s="1"/>
      <c r="AQ258" s="1"/>
    </row>
    <row r="259" spans="11:43" x14ac:dyDescent="0.25">
      <c r="K259" s="1"/>
      <c r="L259" s="1"/>
      <c r="M259" s="1"/>
      <c r="N259" s="1"/>
      <c r="O259" s="1"/>
      <c r="P259" s="1"/>
      <c r="Q259" s="1"/>
      <c r="R259" s="1"/>
      <c r="S259" s="1"/>
      <c r="T259" s="1"/>
      <c r="U259" s="1"/>
      <c r="V259" s="1"/>
      <c r="W259" s="1"/>
      <c r="X259" s="1"/>
      <c r="Y259" s="1"/>
      <c r="Z259" s="1"/>
      <c r="AA259" s="1"/>
      <c r="AB259" s="1"/>
      <c r="AC259" s="1"/>
      <c r="AD259" s="1"/>
      <c r="AE259" s="1"/>
      <c r="AQ259" s="1"/>
    </row>
    <row r="260" spans="11:43" x14ac:dyDescent="0.25">
      <c r="K260" s="1"/>
      <c r="L260" s="1"/>
      <c r="M260" s="1"/>
      <c r="N260" s="1"/>
      <c r="O260" s="1"/>
      <c r="P260" s="1"/>
      <c r="Q260" s="1"/>
      <c r="R260" s="1"/>
      <c r="S260" s="1"/>
      <c r="T260" s="1"/>
      <c r="U260" s="1"/>
      <c r="V260" s="1"/>
      <c r="W260" s="1"/>
      <c r="X260" s="1"/>
      <c r="Y260" s="1"/>
      <c r="Z260" s="1"/>
      <c r="AA260" s="1"/>
      <c r="AB260" s="1"/>
      <c r="AC260" s="1"/>
      <c r="AD260" s="1"/>
      <c r="AE260" s="1"/>
      <c r="AQ260" s="1"/>
    </row>
    <row r="261" spans="11:43" x14ac:dyDescent="0.25">
      <c r="K261" s="1"/>
      <c r="L261" s="1"/>
      <c r="M261" s="1"/>
      <c r="N261" s="1"/>
      <c r="O261" s="1"/>
      <c r="P261" s="1"/>
      <c r="Q261" s="1"/>
      <c r="R261" s="1"/>
      <c r="S261" s="1"/>
      <c r="T261" s="1"/>
      <c r="U261" s="1"/>
      <c r="V261" s="1"/>
      <c r="W261" s="1"/>
      <c r="X261" s="1"/>
      <c r="Y261" s="1"/>
      <c r="Z261" s="1"/>
      <c r="AA261" s="1"/>
      <c r="AB261" s="1"/>
      <c r="AC261" s="1"/>
      <c r="AD261" s="1"/>
      <c r="AE261" s="1"/>
      <c r="AQ261" s="1"/>
    </row>
    <row r="262" spans="11:43" x14ac:dyDescent="0.25">
      <c r="K262" s="1"/>
      <c r="L262" s="1"/>
      <c r="M262" s="1"/>
      <c r="N262" s="1"/>
      <c r="O262" s="1"/>
      <c r="P262" s="1"/>
      <c r="Q262" s="1"/>
      <c r="R262" s="1"/>
      <c r="S262" s="1"/>
      <c r="T262" s="1"/>
      <c r="U262" s="1"/>
      <c r="V262" s="1"/>
      <c r="W262" s="1"/>
      <c r="X262" s="1"/>
      <c r="Y262" s="1"/>
      <c r="Z262" s="1"/>
      <c r="AA262" s="1"/>
      <c r="AB262" s="1"/>
      <c r="AC262" s="1"/>
      <c r="AD262" s="1"/>
      <c r="AE262" s="1"/>
      <c r="AQ262" s="1"/>
    </row>
    <row r="263" spans="11:43" x14ac:dyDescent="0.25">
      <c r="K263" s="1"/>
      <c r="L263" s="1"/>
      <c r="M263" s="1"/>
      <c r="N263" s="1"/>
      <c r="O263" s="1"/>
      <c r="P263" s="1"/>
      <c r="Q263" s="1"/>
      <c r="R263" s="1"/>
      <c r="S263" s="1"/>
      <c r="T263" s="1"/>
      <c r="U263" s="1"/>
      <c r="V263" s="1"/>
      <c r="W263" s="1"/>
      <c r="X263" s="1"/>
      <c r="Y263" s="1"/>
      <c r="Z263" s="1"/>
      <c r="AA263" s="1"/>
      <c r="AB263" s="1"/>
      <c r="AC263" s="1"/>
      <c r="AD263" s="1"/>
      <c r="AE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53">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G116:J116"/>
    <mergeCell ref="AE117:AF118"/>
    <mergeCell ref="AH117:AI118"/>
    <mergeCell ref="AK117:AM117"/>
    <mergeCell ref="A118:J118"/>
    <mergeCell ref="AG117:AG118"/>
    <mergeCell ref="AJ117:AJ118"/>
    <mergeCell ref="A119:J119"/>
    <mergeCell ref="AE119:AJ120"/>
    <mergeCell ref="A120:J120"/>
    <mergeCell ref="AK119:AK120"/>
    <mergeCell ref="AL119:AL120"/>
    <mergeCell ref="AM119:AM120"/>
    <mergeCell ref="G121:J121"/>
    <mergeCell ref="AE121:AJ122"/>
    <mergeCell ref="A121:A122"/>
    <mergeCell ref="B121:B122"/>
    <mergeCell ref="G122:J122"/>
    <mergeCell ref="AK121:AK122"/>
    <mergeCell ref="AL121:AL122"/>
    <mergeCell ref="AM121:AM122"/>
    <mergeCell ref="G123:J123"/>
    <mergeCell ref="AE123:AJ124"/>
    <mergeCell ref="A123:A124"/>
    <mergeCell ref="B123:B124"/>
    <mergeCell ref="G124:J124"/>
    <mergeCell ref="AK123:AK124"/>
    <mergeCell ref="AL123:AL124"/>
    <mergeCell ref="AM123:AM124"/>
    <mergeCell ref="G125:J125"/>
    <mergeCell ref="AE125:AJ126"/>
    <mergeCell ref="A125:A126"/>
    <mergeCell ref="B125:B126"/>
    <mergeCell ref="G126:J126"/>
    <mergeCell ref="AK125:AK126"/>
    <mergeCell ref="AL125:AL126"/>
    <mergeCell ref="AM125:AM126"/>
    <mergeCell ref="A127:J127"/>
    <mergeCell ref="AE127:AJ127"/>
    <mergeCell ref="A128:J129"/>
    <mergeCell ref="AE128:AJ129"/>
    <mergeCell ref="AK128:AK129"/>
    <mergeCell ref="AL128:AL129"/>
    <mergeCell ref="AM128:AM129"/>
    <mergeCell ref="A130:J131"/>
    <mergeCell ref="AE130:AJ131"/>
    <mergeCell ref="AK130:AK131"/>
    <mergeCell ref="AL130:AL131"/>
    <mergeCell ref="AM130:AM131"/>
    <mergeCell ref="AE132:AJ133"/>
    <mergeCell ref="B133:J133"/>
    <mergeCell ref="AK132:AK133"/>
    <mergeCell ref="AL132:AL133"/>
    <mergeCell ref="AM132:AM133"/>
    <mergeCell ref="AE134:AJ135"/>
    <mergeCell ref="AK134:AK135"/>
    <mergeCell ref="AL134:AL135"/>
    <mergeCell ref="AM134:AM135"/>
    <mergeCell ref="B136:J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R22" sqref="AR22"/>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111</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23</v>
      </c>
    </row>
    <row r="10" ht="19.5" customHeight="1" spans="1:43" x14ac:dyDescent="0.25">
      <c r="A10" s="32"/>
      <c r="B10" s="33"/>
      <c r="C10" s="33"/>
      <c r="D10" s="33"/>
      <c r="E10" s="33"/>
      <c r="F10" s="33"/>
      <c r="G10" s="34"/>
      <c r="H10" s="35">
        <v>1</v>
      </c>
      <c r="I10" s="35">
        <v>2</v>
      </c>
      <c r="J10" s="35">
        <v>3</v>
      </c>
      <c r="K10" s="36">
        <v>4</v>
      </c>
      <c r="L10" s="37">
        <v>7</v>
      </c>
      <c r="M10" s="35">
        <v>8</v>
      </c>
      <c r="N10" s="35">
        <v>9</v>
      </c>
      <c r="O10" s="35">
        <v>10</v>
      </c>
      <c r="P10" s="38">
        <v>11</v>
      </c>
      <c r="Q10" s="34">
        <v>14</v>
      </c>
      <c r="R10" s="35">
        <v>15</v>
      </c>
      <c r="S10" s="35">
        <v>16</v>
      </c>
      <c r="T10" s="35">
        <v>17</v>
      </c>
      <c r="U10" s="36">
        <v>18</v>
      </c>
      <c r="V10" s="37">
        <v>21</v>
      </c>
      <c r="W10" s="35">
        <v>22</v>
      </c>
      <c r="X10" s="35">
        <v>23</v>
      </c>
      <c r="Y10" s="35">
        <v>24</v>
      </c>
      <c r="Z10" s="38">
        <v>25</v>
      </c>
      <c r="AA10" s="34">
        <v>28</v>
      </c>
      <c r="AB10" s="35">
        <v>29</v>
      </c>
      <c r="AC10" s="35">
        <v>30</v>
      </c>
      <c r="AD10" s="35">
        <v>31</v>
      </c>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t="s">
        <v>24</v>
      </c>
      <c r="AC13" s="62" t="s">
        <v>24</v>
      </c>
      <c r="AD13" s="62" t="s">
        <v>24</v>
      </c>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t="s">
        <v>24</v>
      </c>
      <c r="AC14" s="62" t="s">
        <v>24</v>
      </c>
      <c r="AD14" s="62" t="s">
        <v>24</v>
      </c>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t="s">
        <v>24</v>
      </c>
      <c r="AC15" s="62" t="s">
        <v>24</v>
      </c>
      <c r="AD15" s="62" t="s">
        <v>24</v>
      </c>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v>0</v>
      </c>
      <c r="AC63" s="91">
        <f t="shared" si="4"/>
        <v>0</v>
      </c>
      <c r="AD63" s="91">
        <f t="shared" si="4"/>
        <v>0</v>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t="s">
        <v>24</v>
      </c>
      <c r="AC64" s="62" t="s">
        <v>24</v>
      </c>
      <c r="AD64" s="62" t="s">
        <v>24</v>
      </c>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t="s">
        <v>24</v>
      </c>
      <c r="AC65" s="62" t="s">
        <v>24</v>
      </c>
      <c r="AD65" s="62" t="s">
        <v>24</v>
      </c>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t="s">
        <v>24</v>
      </c>
      <c r="AC66" s="62" t="s">
        <v>24</v>
      </c>
      <c r="AD66" s="62" t="s">
        <v>24</v>
      </c>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t="s">
        <v>24</v>
      </c>
      <c r="AC67" s="62" t="s">
        <v>24</v>
      </c>
      <c r="AD67" s="62" t="s">
        <v>24</v>
      </c>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t="s">
        <v>24</v>
      </c>
      <c r="AC68" s="62" t="s">
        <v>24</v>
      </c>
      <c r="AD68" s="62" t="s">
        <v>24</v>
      </c>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v>0</v>
      </c>
      <c r="AC114" s="91">
        <f t="shared" si="9"/>
        <v>0</v>
      </c>
      <c r="AD114" s="91">
        <f t="shared" si="9"/>
        <v>0</v>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v>0</v>
      </c>
      <c r="AC115" s="111">
        <f t="shared" si="10"/>
        <v>0</v>
      </c>
      <c r="AD115" s="111">
        <f t="shared" si="10"/>
        <v>0</v>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B116" s="1"/>
      <c r="AC116" s="1"/>
      <c r="AD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D117" s="1"/>
      <c r="AE117" s="129" t="s">
        <v>46</v>
      </c>
      <c r="AF117" s="130"/>
      <c r="AG117" s="131">
        <f>AA6</f>
        <v>NaN</v>
      </c>
      <c r="AH117" s="132" t="s">
        <v>47</v>
      </c>
      <c r="AI117" s="133"/>
      <c r="AJ117" s="134">
        <f>AQ9</f>
        <v>23</v>
      </c>
      <c r="AK117" s="135" t="s">
        <v>48</v>
      </c>
      <c r="AL117" s="135"/>
      <c r="AM117" s="136"/>
      <c r="AQ117" s="1"/>
    </row>
    <row r="118" ht="15" customHeight="1" spans="1:43" x14ac:dyDescent="0.25">
      <c r="A118" s="137" t="s">
        <v>49</v>
      </c>
      <c r="B118" s="137"/>
      <c r="C118" s="137"/>
      <c r="D118" s="137"/>
      <c r="E118" s="137"/>
      <c r="F118" s="137"/>
      <c r="G118" s="137"/>
      <c r="H118" s="1"/>
      <c r="I118" s="1"/>
      <c r="J118" s="1"/>
      <c r="K118" s="1"/>
      <c r="L118" s="1"/>
      <c r="M118" s="1"/>
      <c r="N118" s="1"/>
      <c r="O118" s="1"/>
      <c r="P118" s="1"/>
      <c r="Q118" s="1"/>
      <c r="R118" s="122"/>
      <c r="S118" s="123"/>
      <c r="T118" s="138" t="s">
        <v>50</v>
      </c>
      <c r="U118" s="1"/>
      <c r="V118" s="1"/>
      <c r="W118" s="1"/>
      <c r="X118" s="1"/>
      <c r="Y118" s="1"/>
      <c r="Z118" s="1"/>
      <c r="AA118" s="1"/>
      <c r="AB118" s="1"/>
      <c r="AC118" s="140"/>
      <c r="AD118" s="1"/>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37"/>
      <c r="H119" s="1"/>
      <c r="I119" s="1"/>
      <c r="J119" s="1"/>
      <c r="K119" s="1"/>
      <c r="L119" s="1"/>
      <c r="M119" s="1"/>
      <c r="N119" s="1"/>
      <c r="O119" s="1"/>
      <c r="P119" s="1"/>
      <c r="Q119" s="1"/>
      <c r="R119" s="122"/>
      <c r="S119" s="123"/>
      <c r="T119" s="1"/>
      <c r="U119" s="1"/>
      <c r="V119" s="1"/>
      <c r="W119" s="1"/>
      <c r="X119" s="1"/>
      <c r="Y119" s="1"/>
      <c r="Z119" s="1"/>
      <c r="AA119" s="1"/>
      <c r="AB119" s="1"/>
      <c r="AC119" s="140"/>
      <c r="AD119" s="1"/>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37"/>
      <c r="H120" s="1"/>
      <c r="I120" s="1"/>
      <c r="J120" s="1"/>
      <c r="K120" s="1"/>
      <c r="L120" s="1"/>
      <c r="M120" s="1"/>
      <c r="N120" s="1"/>
      <c r="O120" s="1"/>
      <c r="P120" s="1"/>
      <c r="Q120" s="1"/>
      <c r="R120" s="122"/>
      <c r="S120" s="123"/>
      <c r="T120" s="1"/>
      <c r="U120" s="1"/>
      <c r="V120" s="1"/>
      <c r="W120" s="1"/>
      <c r="X120" s="1"/>
      <c r="Y120" s="1"/>
      <c r="Z120" s="1"/>
      <c r="AA120" s="1"/>
      <c r="AB120" s="1"/>
      <c r="AC120" s="140"/>
      <c r="AD120" s="1"/>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D121" s="1"/>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D122" s="1"/>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D123" s="1"/>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D124" s="1"/>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D125" s="1"/>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D126" s="1"/>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37"/>
      <c r="H127" s="1"/>
      <c r="I127" s="1"/>
      <c r="J127" s="1"/>
      <c r="K127" s="1"/>
      <c r="L127" s="1"/>
      <c r="M127" s="1"/>
      <c r="N127" s="1"/>
      <c r="O127" s="1"/>
      <c r="P127" s="163"/>
      <c r="Q127" s="163"/>
      <c r="R127" s="122"/>
      <c r="S127" s="123"/>
      <c r="T127" s="164" t="s">
        <v>77</v>
      </c>
      <c r="U127" s="1"/>
      <c r="V127" s="1"/>
      <c r="W127" s="1"/>
      <c r="X127" s="1"/>
      <c r="Y127" s="1"/>
      <c r="Z127" s="1"/>
      <c r="AA127" s="1"/>
      <c r="AB127" s="3"/>
      <c r="AC127" s="140"/>
      <c r="AD127" s="1"/>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88"/>
      <c r="H128" s="1"/>
      <c r="I128" s="1"/>
      <c r="J128" s="1"/>
      <c r="K128" s="1"/>
      <c r="L128" s="1"/>
      <c r="M128" s="1"/>
      <c r="N128" s="1"/>
      <c r="O128" s="1"/>
      <c r="P128" s="1"/>
      <c r="Q128" s="1"/>
      <c r="R128" s="173"/>
      <c r="S128" s="123"/>
      <c r="T128" s="174" t="s">
        <v>80</v>
      </c>
      <c r="U128" s="1"/>
      <c r="V128" s="1"/>
      <c r="W128" s="1"/>
      <c r="X128" s="1"/>
      <c r="Y128" s="1"/>
      <c r="Z128" s="1"/>
      <c r="AA128" s="1"/>
      <c r="AB128" s="165"/>
      <c r="AC128" s="140"/>
      <c r="AD128" s="1"/>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88"/>
      <c r="H129" s="1"/>
      <c r="I129" s="1"/>
      <c r="J129" s="1"/>
      <c r="K129" s="1"/>
      <c r="L129" s="1"/>
      <c r="M129" s="1"/>
      <c r="N129" s="1"/>
      <c r="O129" s="1"/>
      <c r="P129" s="1"/>
      <c r="Q129" s="1"/>
      <c r="R129" s="173"/>
      <c r="S129" s="123"/>
      <c r="T129" s="174" t="s">
        <v>82</v>
      </c>
      <c r="U129" s="1"/>
      <c r="V129" s="1"/>
      <c r="W129" s="1"/>
      <c r="X129" s="1"/>
      <c r="Y129" s="1"/>
      <c r="Z129" s="1"/>
      <c r="AA129" s="1"/>
      <c r="AB129" s="165"/>
      <c r="AC129" s="140"/>
      <c r="AD129" s="1"/>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9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91"/>
      <c r="H131" s="1"/>
      <c r="I131" s="1"/>
      <c r="J131" s="1"/>
      <c r="K131" s="1"/>
      <c r="L131" s="1"/>
      <c r="M131" s="1"/>
      <c r="N131" s="1"/>
      <c r="O131" s="1"/>
      <c r="P131" s="1"/>
      <c r="Q131" s="1"/>
      <c r="R131" s="1"/>
      <c r="S131" s="123"/>
      <c r="T131" s="174" t="s">
        <v>86</v>
      </c>
      <c r="U131" s="1"/>
      <c r="V131" s="1"/>
      <c r="W131" s="1"/>
      <c r="X131" s="1"/>
      <c r="Y131" s="1"/>
      <c r="Z131" s="1"/>
      <c r="AA131" s="1"/>
      <c r="AB131" s="3"/>
      <c r="AC131" s="140"/>
      <c r="AD131" s="1"/>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D132" s="1"/>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91"/>
      <c r="H133" s="1"/>
      <c r="I133" s="1"/>
      <c r="J133" s="1"/>
      <c r="K133" s="1"/>
      <c r="L133" s="1"/>
      <c r="M133" s="1"/>
      <c r="N133" s="1"/>
      <c r="O133" s="1"/>
      <c r="P133" s="1"/>
      <c r="Q133" s="1"/>
      <c r="R133" s="122"/>
      <c r="S133" s="123"/>
      <c r="T133" s="174" t="s">
        <v>92</v>
      </c>
      <c r="U133" s="1"/>
      <c r="V133" s="1"/>
      <c r="W133" s="1"/>
      <c r="X133" s="1"/>
      <c r="Y133" s="1"/>
      <c r="Z133" s="1"/>
      <c r="AA133" s="1"/>
      <c r="AB133" s="3"/>
      <c r="AC133" s="140"/>
      <c r="AD133" s="1"/>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B134" s="1"/>
      <c r="AC134" s="140"/>
      <c r="AD134" s="1"/>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D135" s="1"/>
      <c r="AE135" s="196"/>
      <c r="AF135" s="197"/>
      <c r="AG135" s="197"/>
      <c r="AH135" s="197"/>
      <c r="AI135" s="197"/>
      <c r="AJ135" s="197"/>
      <c r="AK135" s="176"/>
      <c r="AL135" s="176"/>
      <c r="AM135" s="159"/>
      <c r="AQ135" s="1"/>
    </row>
    <row r="136" ht="15" customHeight="1" spans="2:43" x14ac:dyDescent="0.25">
      <c r="B136" s="200"/>
      <c r="C136" s="200"/>
      <c r="D136" s="200"/>
      <c r="E136" s="200"/>
      <c r="F136" s="200"/>
      <c r="G136" s="200"/>
      <c r="H136" s="1"/>
      <c r="I136" s="1"/>
      <c r="J136" s="1"/>
      <c r="K136" s="1"/>
      <c r="L136" s="1"/>
      <c r="M136" s="1"/>
      <c r="N136" s="1"/>
      <c r="O136" s="1"/>
      <c r="P136" s="1"/>
      <c r="Q136" s="1"/>
      <c r="R136" s="1"/>
      <c r="S136" s="123"/>
      <c r="T136" s="174" t="s">
        <v>96</v>
      </c>
      <c r="U136" s="1"/>
      <c r="V136" s="1"/>
      <c r="W136" s="1"/>
      <c r="X136" s="1"/>
      <c r="Y136" s="1"/>
      <c r="Z136" s="1"/>
      <c r="AA136" s="1"/>
      <c r="AB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200"/>
      <c r="H137" s="1"/>
      <c r="I137" s="1"/>
      <c r="J137" s="1"/>
      <c r="K137" s="1"/>
      <c r="L137" s="1"/>
      <c r="M137" s="1"/>
      <c r="N137" s="1"/>
      <c r="O137" s="1"/>
      <c r="P137" s="1"/>
      <c r="Q137" s="1"/>
      <c r="R137" s="1"/>
      <c r="S137" s="123"/>
      <c r="T137" s="174" t="s">
        <v>98</v>
      </c>
      <c r="U137" s="1"/>
      <c r="V137" s="1"/>
      <c r="W137" s="1"/>
      <c r="X137" s="1"/>
      <c r="Y137" s="1"/>
      <c r="Z137" s="1"/>
      <c r="AA137" s="1"/>
      <c r="AB137" s="1"/>
      <c r="AC137" s="140"/>
      <c r="AD137" s="1"/>
      <c r="AE137" s="201"/>
      <c r="AF137" s="148"/>
      <c r="AG137" s="148"/>
      <c r="AH137" s="148"/>
      <c r="AI137" s="148"/>
      <c r="AJ137" s="148"/>
      <c r="AK137" s="202"/>
      <c r="AL137" s="202"/>
      <c r="AM137" s="203"/>
      <c r="AQ137" s="1"/>
    </row>
    <row r="138" ht="14.25" customHeight="1" spans="2:43" x14ac:dyDescent="0.25">
      <c r="B138" s="3"/>
      <c r="C138" s="3"/>
      <c r="D138" s="3"/>
      <c r="E138" s="3"/>
      <c r="F138" s="3"/>
      <c r="H138" s="1"/>
      <c r="I138" s="1"/>
      <c r="J138" s="1"/>
      <c r="K138" s="1"/>
      <c r="L138" s="1"/>
      <c r="M138" s="1"/>
      <c r="N138" s="1"/>
      <c r="O138" s="1"/>
      <c r="P138" s="1"/>
      <c r="Q138" s="1"/>
      <c r="R138" s="1"/>
      <c r="S138" s="123"/>
      <c r="T138" s="174" t="s">
        <v>99</v>
      </c>
      <c r="U138" s="1"/>
      <c r="V138" s="1"/>
      <c r="W138" s="1"/>
      <c r="X138" s="1"/>
      <c r="Y138" s="1"/>
      <c r="Z138" s="1"/>
      <c r="AA138" s="1"/>
      <c r="AB138" s="1"/>
      <c r="AC138" s="140"/>
      <c r="AD138" s="1"/>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B139" s="1"/>
      <c r="AC139" s="140"/>
      <c r="AD139" s="1"/>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B140" s="1"/>
      <c r="AC140" s="140"/>
      <c r="AD140" s="1"/>
      <c r="AE140" s="207"/>
      <c r="AF140" s="207"/>
      <c r="AG140" s="207"/>
      <c r="AH140" s="207"/>
      <c r="AI140" s="207"/>
      <c r="AJ140" s="207"/>
      <c r="AK140" s="207"/>
      <c r="AL140" s="207"/>
      <c r="AM140" s="207"/>
      <c r="AQ140" s="1"/>
    </row>
    <row r="141" ht="12" customHeight="1" spans="2:43" x14ac:dyDescent="0.25">
      <c r="B141" s="206"/>
      <c r="C141" s="206"/>
      <c r="D141" s="206"/>
      <c r="E141" s="206"/>
      <c r="F141" s="206"/>
      <c r="H141" s="1"/>
      <c r="I141" s="1"/>
      <c r="J141" s="1"/>
      <c r="K141" s="1"/>
      <c r="L141" s="1"/>
      <c r="M141" s="1"/>
      <c r="N141" s="1"/>
      <c r="O141" s="1"/>
      <c r="P141" s="1"/>
      <c r="Q141" s="1"/>
      <c r="R141" s="1"/>
      <c r="S141" s="123"/>
      <c r="T141" s="208" t="s">
        <v>103</v>
      </c>
      <c r="U141" s="1"/>
      <c r="V141" s="1"/>
      <c r="W141" s="1"/>
      <c r="X141" s="1"/>
      <c r="Y141" s="1"/>
      <c r="Z141" s="1"/>
      <c r="AA141" s="1"/>
      <c r="AB141" s="1"/>
      <c r="AC141" s="1"/>
      <c r="AD141" s="1"/>
      <c r="AE141" s="98"/>
      <c r="AF141" s="98"/>
      <c r="AG141" s="98"/>
      <c r="AH141" s="98"/>
      <c r="AI141" s="98"/>
      <c r="AJ141" s="98"/>
      <c r="AK141" s="98"/>
      <c r="AL141" s="98"/>
      <c r="AM141" s="98"/>
      <c r="AQ141" s="1"/>
    </row>
    <row r="142" spans="2:43" x14ac:dyDescent="0.25">
      <c r="B142" s="206"/>
      <c r="C142" s="206"/>
      <c r="D142" s="206"/>
      <c r="E142" s="206"/>
      <c r="F142" s="206"/>
      <c r="H142" s="1"/>
      <c r="I142" s="1"/>
      <c r="J142" s="1"/>
      <c r="K142" s="1"/>
      <c r="L142" s="1"/>
      <c r="M142" s="1"/>
      <c r="N142" s="1"/>
      <c r="O142" s="1"/>
      <c r="P142" s="1"/>
      <c r="Q142" s="1"/>
      <c r="R142" s="1"/>
      <c r="S142" s="123"/>
      <c r="T142" s="1"/>
      <c r="U142" s="1"/>
      <c r="V142" s="1"/>
      <c r="W142" s="1"/>
      <c r="X142" s="1"/>
      <c r="Y142" s="1"/>
      <c r="Z142" s="1"/>
      <c r="AA142" s="1"/>
      <c r="AB142" s="1"/>
      <c r="AC142" s="1"/>
      <c r="AD142" s="1"/>
      <c r="AE142" s="210" t="s">
        <v>104</v>
      </c>
      <c r="AF142" s="210"/>
      <c r="AG142" s="210"/>
      <c r="AH142" s="210"/>
      <c r="AI142" s="210"/>
      <c r="AJ142" s="210"/>
      <c r="AK142" s="210"/>
      <c r="AL142" s="210"/>
      <c r="AM142" s="210"/>
      <c r="AQ142" s="1"/>
    </row>
    <row r="143" spans="2:43" x14ac:dyDescent="0.25">
      <c r="B143" s="206"/>
      <c r="C143" s="206"/>
      <c r="D143" s="206"/>
      <c r="E143" s="206"/>
      <c r="F143" s="206"/>
      <c r="H143" s="1"/>
      <c r="I143" s="1"/>
      <c r="J143" s="1"/>
      <c r="K143" s="1"/>
      <c r="L143" s="1"/>
      <c r="M143" s="1"/>
      <c r="N143" s="1"/>
      <c r="O143" s="1"/>
      <c r="P143" s="1"/>
      <c r="Q143" s="1"/>
      <c r="R143" s="1"/>
      <c r="S143" s="1"/>
      <c r="T143" s="174" t="s">
        <v>105</v>
      </c>
      <c r="U143" s="1"/>
      <c r="V143" s="1"/>
      <c r="W143" s="1"/>
      <c r="X143" s="1"/>
      <c r="Y143" s="1"/>
      <c r="Z143" s="1"/>
      <c r="AA143" s="1"/>
      <c r="AB143" s="1"/>
      <c r="AC143" s="211"/>
      <c r="AD143" s="1"/>
      <c r="AQ143" s="1"/>
    </row>
    <row r="144" ht="14.25" customHeight="1" spans="2:43" x14ac:dyDescent="0.25">
      <c r="B144" s="3"/>
      <c r="C144" s="3"/>
      <c r="D144" s="3"/>
      <c r="E144" s="3"/>
      <c r="F144" s="3"/>
      <c r="H144" s="1"/>
      <c r="I144" s="1"/>
      <c r="J144" s="1"/>
      <c r="K144" s="1"/>
      <c r="L144" s="1"/>
      <c r="M144" s="1"/>
      <c r="N144" s="1"/>
      <c r="O144" s="1"/>
      <c r="P144" s="1"/>
      <c r="Q144" s="1"/>
      <c r="R144" s="1"/>
      <c r="S144" s="1"/>
      <c r="T144" s="164" t="s">
        <v>106</v>
      </c>
      <c r="U144" s="1"/>
      <c r="V144" s="1"/>
      <c r="W144" s="1"/>
      <c r="X144" s="1"/>
      <c r="Y144" s="1"/>
      <c r="Z144" s="1"/>
      <c r="AA144" s="1"/>
      <c r="AB144" s="1"/>
      <c r="AC144" s="211"/>
      <c r="AD144" s="1"/>
      <c r="AE144" s="1" t="s">
        <v>107</v>
      </c>
      <c r="AG144" s="204"/>
      <c r="AH144" s="204"/>
      <c r="AI144" s="204"/>
      <c r="AJ144" s="204"/>
      <c r="AK144" s="204"/>
      <c r="AL144" s="204"/>
      <c r="AQ144" s="1"/>
    </row>
    <row r="145" ht="27.65" customHeight="1" spans="1:43" x14ac:dyDescent="0.25">
      <c r="A145" s="212"/>
      <c r="B145" s="212"/>
      <c r="C145" s="212"/>
      <c r="D145" s="212"/>
      <c r="E145" s="212"/>
      <c r="F145" s="212"/>
      <c r="H145" s="1"/>
      <c r="I145" s="1"/>
      <c r="J145" s="1"/>
      <c r="K145" s="1"/>
      <c r="L145" s="1"/>
      <c r="M145" s="1"/>
      <c r="N145" s="1"/>
      <c r="O145" s="1"/>
      <c r="P145" s="1"/>
      <c r="Q145" s="1"/>
      <c r="R145" s="1"/>
      <c r="S145" s="1"/>
      <c r="T145" s="174" t="s">
        <v>108</v>
      </c>
      <c r="U145" s="1"/>
      <c r="V145" s="1"/>
      <c r="W145" s="1"/>
      <c r="X145" s="1"/>
      <c r="Y145" s="1"/>
      <c r="Z145" s="1"/>
      <c r="AA145" s="1"/>
      <c r="AB145" s="1"/>
      <c r="AC145" s="211"/>
      <c r="AD145" s="1"/>
      <c r="AE145" s="98"/>
      <c r="AF145" s="98"/>
      <c r="AG145" s="98"/>
      <c r="AH145" s="98"/>
      <c r="AI145" s="98"/>
      <c r="AJ145" s="98"/>
      <c r="AK145" s="98"/>
      <c r="AL145" s="98"/>
      <c r="AM145" s="98"/>
      <c r="AQ145" s="1"/>
    </row>
    <row r="146" ht="14.25" customHeight="1" spans="1:43" x14ac:dyDescent="0.25">
      <c r="A146" s="212"/>
      <c r="B146" s="212"/>
      <c r="C146" s="212"/>
      <c r="D146" s="212"/>
      <c r="E146" s="212"/>
      <c r="F146" s="212"/>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D146" s="1"/>
      <c r="AE146" s="210" t="s">
        <v>110</v>
      </c>
      <c r="AF146" s="210"/>
      <c r="AG146" s="210"/>
      <c r="AH146" s="210"/>
      <c r="AI146" s="210"/>
      <c r="AJ146" s="210"/>
      <c r="AK146" s="210"/>
      <c r="AL146" s="210"/>
      <c r="AM146" s="210"/>
      <c r="AQ146" s="1"/>
    </row>
    <row r="147" spans="8:43" x14ac:dyDescent="0.25">
      <c r="H147" s="1"/>
      <c r="I147" s="1"/>
      <c r="J147" s="1"/>
      <c r="K147" s="1"/>
      <c r="L147" s="1"/>
      <c r="M147" s="1"/>
      <c r="N147" s="1"/>
      <c r="O147" s="1"/>
      <c r="P147" s="1"/>
      <c r="Q147" s="1"/>
      <c r="R147" s="1"/>
      <c r="S147" s="1"/>
      <c r="T147" s="1"/>
      <c r="U147" s="1"/>
      <c r="V147" s="1"/>
      <c r="W147" s="1"/>
      <c r="X147" s="1"/>
      <c r="Y147" s="1"/>
      <c r="Z147" s="1"/>
      <c r="AA147" s="1"/>
      <c r="AB147" s="1"/>
      <c r="AC147" s="1"/>
      <c r="AD147" s="1"/>
      <c r="AQ147" s="1"/>
    </row>
    <row r="148" spans="8:43" x14ac:dyDescent="0.25">
      <c r="H148" s="1"/>
      <c r="I148" s="1"/>
      <c r="J148" s="1"/>
      <c r="K148" s="1"/>
      <c r="L148" s="1"/>
      <c r="M148" s="1"/>
      <c r="N148" s="1"/>
      <c r="O148" s="1"/>
      <c r="P148" s="1"/>
      <c r="Q148" s="1"/>
      <c r="R148" s="1"/>
      <c r="S148" s="1"/>
      <c r="T148" s="1"/>
      <c r="U148" s="1"/>
      <c r="V148" s="1"/>
      <c r="W148" s="1"/>
      <c r="X148" s="1"/>
      <c r="Y148" s="1"/>
      <c r="Z148" s="1"/>
      <c r="AA148" s="1"/>
      <c r="AB148" s="1"/>
      <c r="AC148" s="1"/>
      <c r="AD148" s="1"/>
      <c r="AQ148" s="1"/>
    </row>
    <row r="149" spans="8:43" x14ac:dyDescent="0.25">
      <c r="H149" s="1"/>
      <c r="I149" s="1"/>
      <c r="J149" s="1"/>
      <c r="K149" s="1"/>
      <c r="L149" s="1"/>
      <c r="M149" s="1"/>
      <c r="N149" s="1"/>
      <c r="O149" s="1"/>
      <c r="P149" s="1"/>
      <c r="Q149" s="1"/>
      <c r="R149" s="1"/>
      <c r="S149" s="1"/>
      <c r="T149" s="1"/>
      <c r="U149" s="1"/>
      <c r="V149" s="1"/>
      <c r="W149" s="1"/>
      <c r="X149" s="1"/>
      <c r="Y149" s="1"/>
      <c r="Z149" s="1"/>
      <c r="AA149" s="1"/>
      <c r="AB149" s="1"/>
      <c r="AC149" s="1"/>
      <c r="AD149" s="1"/>
      <c r="AQ149" s="1"/>
    </row>
    <row r="150" spans="8:43" x14ac:dyDescent="0.25">
      <c r="H150" s="1"/>
      <c r="I150" s="1"/>
      <c r="J150" s="1"/>
      <c r="K150" s="1"/>
      <c r="L150" s="1"/>
      <c r="M150" s="1"/>
      <c r="N150" s="1"/>
      <c r="O150" s="1"/>
      <c r="P150" s="1"/>
      <c r="Q150" s="1"/>
      <c r="R150" s="1"/>
      <c r="S150" s="1"/>
      <c r="T150" s="1"/>
      <c r="U150" s="1"/>
      <c r="V150" s="1"/>
      <c r="W150" s="1"/>
      <c r="X150" s="1"/>
      <c r="Y150" s="1"/>
      <c r="Z150" s="1"/>
      <c r="AA150" s="1"/>
      <c r="AB150" s="1"/>
      <c r="AC150" s="1"/>
      <c r="AD150" s="1"/>
      <c r="AQ150" s="1"/>
    </row>
    <row r="151" spans="8:43" x14ac:dyDescent="0.25">
      <c r="H151" s="1"/>
      <c r="I151" s="1"/>
      <c r="J151" s="1"/>
      <c r="K151" s="1"/>
      <c r="L151" s="1"/>
      <c r="M151" s="1"/>
      <c r="N151" s="1"/>
      <c r="O151" s="1"/>
      <c r="P151" s="1"/>
      <c r="Q151" s="1"/>
      <c r="R151" s="1"/>
      <c r="S151" s="1"/>
      <c r="T151" s="1"/>
      <c r="U151" s="1"/>
      <c r="V151" s="1"/>
      <c r="W151" s="1"/>
      <c r="X151" s="1"/>
      <c r="Y151" s="1"/>
      <c r="Z151" s="1"/>
      <c r="AA151" s="1"/>
      <c r="AB151" s="1"/>
      <c r="AC151" s="1"/>
      <c r="AD151" s="1"/>
      <c r="AQ151" s="1"/>
    </row>
    <row r="152" spans="8:43" x14ac:dyDescent="0.25">
      <c r="H152" s="1"/>
      <c r="I152" s="1"/>
      <c r="J152" s="1"/>
      <c r="K152" s="1"/>
      <c r="L152" s="1"/>
      <c r="M152" s="1"/>
      <c r="N152" s="1"/>
      <c r="O152" s="1"/>
      <c r="P152" s="1"/>
      <c r="Q152" s="1"/>
      <c r="R152" s="1"/>
      <c r="S152" s="1"/>
      <c r="T152" s="1"/>
      <c r="U152" s="1"/>
      <c r="V152" s="1"/>
      <c r="W152" s="1"/>
      <c r="X152" s="1"/>
      <c r="Y152" s="1"/>
      <c r="Z152" s="1"/>
      <c r="AA152" s="1"/>
      <c r="AB152" s="1"/>
      <c r="AC152" s="1"/>
      <c r="AD152" s="1"/>
      <c r="AQ152" s="1"/>
    </row>
    <row r="153" spans="8:43" x14ac:dyDescent="0.25">
      <c r="H153" s="1"/>
      <c r="I153" s="1"/>
      <c r="J153" s="1"/>
      <c r="K153" s="1"/>
      <c r="L153" s="1"/>
      <c r="M153" s="1"/>
      <c r="N153" s="1"/>
      <c r="O153" s="1"/>
      <c r="P153" s="1"/>
      <c r="Q153" s="1"/>
      <c r="R153" s="1"/>
      <c r="S153" s="1"/>
      <c r="T153" s="1"/>
      <c r="U153" s="1"/>
      <c r="V153" s="1"/>
      <c r="W153" s="1"/>
      <c r="X153" s="1"/>
      <c r="Y153" s="1"/>
      <c r="Z153" s="1"/>
      <c r="AA153" s="1"/>
      <c r="AB153" s="1"/>
      <c r="AC153" s="1"/>
      <c r="AD153" s="1"/>
      <c r="AQ153" s="1"/>
    </row>
    <row r="154" spans="8:43" x14ac:dyDescent="0.25">
      <c r="H154" s="1"/>
      <c r="I154" s="1"/>
      <c r="J154" s="1"/>
      <c r="K154" s="1"/>
      <c r="L154" s="1"/>
      <c r="M154" s="1"/>
      <c r="N154" s="1"/>
      <c r="O154" s="1"/>
      <c r="P154" s="1"/>
      <c r="Q154" s="1"/>
      <c r="R154" s="1"/>
      <c r="S154" s="1"/>
      <c r="T154" s="1"/>
      <c r="U154" s="1"/>
      <c r="V154" s="1"/>
      <c r="W154" s="1"/>
      <c r="X154" s="1"/>
      <c r="Y154" s="1"/>
      <c r="Z154" s="1"/>
      <c r="AA154" s="1"/>
      <c r="AB154" s="1"/>
      <c r="AC154" s="1"/>
      <c r="AD154" s="1"/>
      <c r="AQ154" s="1"/>
    </row>
    <row r="155" spans="8:43" x14ac:dyDescent="0.25">
      <c r="H155" s="1"/>
      <c r="I155" s="1"/>
      <c r="J155" s="1"/>
      <c r="K155" s="1"/>
      <c r="L155" s="1"/>
      <c r="M155" s="1"/>
      <c r="N155" s="1"/>
      <c r="O155" s="1"/>
      <c r="P155" s="1"/>
      <c r="Q155" s="1"/>
      <c r="R155" s="1"/>
      <c r="S155" s="1"/>
      <c r="T155" s="1"/>
      <c r="U155" s="1"/>
      <c r="V155" s="1"/>
      <c r="W155" s="1"/>
      <c r="X155" s="1"/>
      <c r="Y155" s="1"/>
      <c r="Z155" s="1"/>
      <c r="AA155" s="1"/>
      <c r="AB155" s="1"/>
      <c r="AC155" s="1"/>
      <c r="AD155" s="1"/>
      <c r="AQ155" s="1"/>
    </row>
    <row r="156" spans="8:43" x14ac:dyDescent="0.25">
      <c r="H156" s="1"/>
      <c r="I156" s="1"/>
      <c r="J156" s="1"/>
      <c r="K156" s="1"/>
      <c r="L156" s="1"/>
      <c r="M156" s="1"/>
      <c r="N156" s="1"/>
      <c r="O156" s="1"/>
      <c r="P156" s="1"/>
      <c r="Q156" s="1"/>
      <c r="R156" s="1"/>
      <c r="S156" s="1"/>
      <c r="T156" s="1"/>
      <c r="U156" s="1"/>
      <c r="V156" s="1"/>
      <c r="W156" s="1"/>
      <c r="X156" s="1"/>
      <c r="Y156" s="1"/>
      <c r="Z156" s="1"/>
      <c r="AA156" s="1"/>
      <c r="AB156" s="1"/>
      <c r="AC156" s="1"/>
      <c r="AD156" s="1"/>
      <c r="AQ156" s="1"/>
    </row>
    <row r="157" spans="8:43" x14ac:dyDescent="0.25">
      <c r="H157" s="1"/>
      <c r="I157" s="1"/>
      <c r="J157" s="1"/>
      <c r="K157" s="1"/>
      <c r="L157" s="1"/>
      <c r="M157" s="1"/>
      <c r="N157" s="1"/>
      <c r="O157" s="1"/>
      <c r="P157" s="1"/>
      <c r="Q157" s="1"/>
      <c r="R157" s="1"/>
      <c r="S157" s="1"/>
      <c r="T157" s="1"/>
      <c r="U157" s="1"/>
      <c r="V157" s="1"/>
      <c r="W157" s="1"/>
      <c r="X157" s="1"/>
      <c r="Y157" s="1"/>
      <c r="Z157" s="1"/>
      <c r="AA157" s="1"/>
      <c r="AB157" s="1"/>
      <c r="AC157" s="1"/>
      <c r="AD157" s="1"/>
      <c r="AQ157" s="1"/>
    </row>
    <row r="158" spans="8:43" x14ac:dyDescent="0.25">
      <c r="H158" s="1"/>
      <c r="I158" s="1"/>
      <c r="J158" s="1"/>
      <c r="K158" s="1"/>
      <c r="L158" s="1"/>
      <c r="M158" s="1"/>
      <c r="N158" s="1"/>
      <c r="O158" s="1"/>
      <c r="P158" s="1"/>
      <c r="Q158" s="1"/>
      <c r="R158" s="1"/>
      <c r="S158" s="1"/>
      <c r="T158" s="1"/>
      <c r="U158" s="1"/>
      <c r="V158" s="1"/>
      <c r="W158" s="1"/>
      <c r="X158" s="1"/>
      <c r="Y158" s="1"/>
      <c r="Z158" s="1"/>
      <c r="AA158" s="1"/>
      <c r="AB158" s="1"/>
      <c r="AC158" s="1"/>
      <c r="AD158" s="1"/>
      <c r="AQ158" s="1"/>
    </row>
    <row r="159" spans="8:43" x14ac:dyDescent="0.25">
      <c r="H159" s="1"/>
      <c r="I159" s="1"/>
      <c r="J159" s="1"/>
      <c r="K159" s="1"/>
      <c r="L159" s="1"/>
      <c r="M159" s="1"/>
      <c r="N159" s="1"/>
      <c r="O159" s="1"/>
      <c r="P159" s="1"/>
      <c r="Q159" s="1"/>
      <c r="R159" s="1"/>
      <c r="S159" s="1"/>
      <c r="T159" s="1"/>
      <c r="U159" s="1"/>
      <c r="V159" s="1"/>
      <c r="W159" s="1"/>
      <c r="X159" s="1"/>
      <c r="Y159" s="1"/>
      <c r="Z159" s="1"/>
      <c r="AA159" s="1"/>
      <c r="AB159" s="1"/>
      <c r="AC159" s="1"/>
      <c r="AD159" s="1"/>
      <c r="AQ159" s="1"/>
    </row>
    <row r="160" spans="8:43" x14ac:dyDescent="0.25">
      <c r="H160" s="1"/>
      <c r="I160" s="1"/>
      <c r="J160" s="1"/>
      <c r="K160" s="1"/>
      <c r="L160" s="1"/>
      <c r="M160" s="1"/>
      <c r="N160" s="1"/>
      <c r="O160" s="1"/>
      <c r="P160" s="1"/>
      <c r="Q160" s="1"/>
      <c r="R160" s="1"/>
      <c r="S160" s="1"/>
      <c r="T160" s="1"/>
      <c r="U160" s="1"/>
      <c r="V160" s="1"/>
      <c r="W160" s="1"/>
      <c r="X160" s="1"/>
      <c r="Y160" s="1"/>
      <c r="Z160" s="1"/>
      <c r="AA160" s="1"/>
      <c r="AB160" s="1"/>
      <c r="AC160" s="1"/>
      <c r="AD160" s="1"/>
      <c r="AQ160" s="1"/>
    </row>
    <row r="161" spans="8:43" x14ac:dyDescent="0.25">
      <c r="H161" s="1"/>
      <c r="I161" s="1"/>
      <c r="J161" s="1"/>
      <c r="K161" s="1"/>
      <c r="L161" s="1"/>
      <c r="M161" s="1"/>
      <c r="N161" s="1"/>
      <c r="O161" s="1"/>
      <c r="P161" s="1"/>
      <c r="Q161" s="1"/>
      <c r="R161" s="1"/>
      <c r="S161" s="1"/>
      <c r="T161" s="1"/>
      <c r="U161" s="1"/>
      <c r="V161" s="1"/>
      <c r="W161" s="1"/>
      <c r="X161" s="1"/>
      <c r="Y161" s="1"/>
      <c r="Z161" s="1"/>
      <c r="AA161" s="1"/>
      <c r="AB161" s="1"/>
      <c r="AC161" s="1"/>
      <c r="AD161" s="1"/>
      <c r="AQ161" s="1"/>
    </row>
    <row r="162" spans="8:43" x14ac:dyDescent="0.25">
      <c r="H162" s="1"/>
      <c r="I162" s="1"/>
      <c r="J162" s="1"/>
      <c r="K162" s="1"/>
      <c r="L162" s="1"/>
      <c r="M162" s="1"/>
      <c r="N162" s="1"/>
      <c r="O162" s="1"/>
      <c r="P162" s="1"/>
      <c r="Q162" s="1"/>
      <c r="R162" s="1"/>
      <c r="S162" s="1"/>
      <c r="T162" s="1"/>
      <c r="U162" s="1"/>
      <c r="V162" s="1"/>
      <c r="W162" s="1"/>
      <c r="X162" s="1"/>
      <c r="Y162" s="1"/>
      <c r="Z162" s="1"/>
      <c r="AA162" s="1"/>
      <c r="AB162" s="1"/>
      <c r="AC162" s="1"/>
      <c r="AD162" s="1"/>
      <c r="AQ162" s="1"/>
    </row>
    <row r="163" spans="8:43" x14ac:dyDescent="0.25">
      <c r="H163" s="1"/>
      <c r="I163" s="1"/>
      <c r="J163" s="1"/>
      <c r="K163" s="1"/>
      <c r="L163" s="1"/>
      <c r="M163" s="1"/>
      <c r="N163" s="1"/>
      <c r="O163" s="1"/>
      <c r="P163" s="1"/>
      <c r="Q163" s="1"/>
      <c r="R163" s="1"/>
      <c r="S163" s="1"/>
      <c r="T163" s="1"/>
      <c r="U163" s="1"/>
      <c r="V163" s="1"/>
      <c r="W163" s="1"/>
      <c r="X163" s="1"/>
      <c r="Y163" s="1"/>
      <c r="Z163" s="1"/>
      <c r="AA163" s="1"/>
      <c r="AB163" s="1"/>
      <c r="AC163" s="1"/>
      <c r="AD163" s="1"/>
      <c r="AQ163" s="1"/>
    </row>
    <row r="164" spans="8:43" x14ac:dyDescent="0.25">
      <c r="H164" s="1"/>
      <c r="I164" s="1"/>
      <c r="J164" s="1"/>
      <c r="K164" s="1"/>
      <c r="L164" s="1"/>
      <c r="M164" s="1"/>
      <c r="N164" s="1"/>
      <c r="O164" s="1"/>
      <c r="P164" s="1"/>
      <c r="Q164" s="1"/>
      <c r="R164" s="1"/>
      <c r="S164" s="1"/>
      <c r="T164" s="1"/>
      <c r="U164" s="1"/>
      <c r="V164" s="1"/>
      <c r="W164" s="1"/>
      <c r="X164" s="1"/>
      <c r="Y164" s="1"/>
      <c r="Z164" s="1"/>
      <c r="AA164" s="1"/>
      <c r="AB164" s="1"/>
      <c r="AC164" s="1"/>
      <c r="AD164" s="1"/>
      <c r="AQ164" s="1"/>
    </row>
    <row r="165" spans="8:43" x14ac:dyDescent="0.25">
      <c r="H165" s="1"/>
      <c r="I165" s="1"/>
      <c r="J165" s="1"/>
      <c r="K165" s="1"/>
      <c r="L165" s="1"/>
      <c r="M165" s="1"/>
      <c r="N165" s="1"/>
      <c r="O165" s="1"/>
      <c r="P165" s="1"/>
      <c r="Q165" s="1"/>
      <c r="R165" s="1"/>
      <c r="S165" s="1"/>
      <c r="T165" s="1"/>
      <c r="U165" s="1"/>
      <c r="V165" s="1"/>
      <c r="W165" s="1"/>
      <c r="X165" s="1"/>
      <c r="Y165" s="1"/>
      <c r="Z165" s="1"/>
      <c r="AA165" s="1"/>
      <c r="AB165" s="1"/>
      <c r="AC165" s="1"/>
      <c r="AD165" s="1"/>
      <c r="AQ165" s="1"/>
    </row>
    <row r="166" spans="8:43" x14ac:dyDescent="0.25">
      <c r="H166" s="1"/>
      <c r="I166" s="1"/>
      <c r="J166" s="1"/>
      <c r="K166" s="1"/>
      <c r="L166" s="1"/>
      <c r="M166" s="1"/>
      <c r="N166" s="1"/>
      <c r="O166" s="1"/>
      <c r="P166" s="1"/>
      <c r="Q166" s="1"/>
      <c r="R166" s="1"/>
      <c r="S166" s="1"/>
      <c r="T166" s="1"/>
      <c r="U166" s="1"/>
      <c r="V166" s="1"/>
      <c r="W166" s="1"/>
      <c r="X166" s="1"/>
      <c r="Y166" s="1"/>
      <c r="Z166" s="1"/>
      <c r="AA166" s="1"/>
      <c r="AB166" s="1"/>
      <c r="AC166" s="1"/>
      <c r="AD166" s="1"/>
      <c r="AQ166" s="1"/>
    </row>
    <row r="167" spans="8:43" x14ac:dyDescent="0.25">
      <c r="H167" s="1"/>
      <c r="I167" s="1"/>
      <c r="J167" s="1"/>
      <c r="K167" s="1"/>
      <c r="L167" s="1"/>
      <c r="M167" s="1"/>
      <c r="N167" s="1"/>
      <c r="O167" s="1"/>
      <c r="P167" s="1"/>
      <c r="Q167" s="1"/>
      <c r="R167" s="1"/>
      <c r="S167" s="1"/>
      <c r="T167" s="1"/>
      <c r="U167" s="1"/>
      <c r="V167" s="1"/>
      <c r="W167" s="1"/>
      <c r="X167" s="1"/>
      <c r="Y167" s="1"/>
      <c r="Z167" s="1"/>
      <c r="AA167" s="1"/>
      <c r="AB167" s="1"/>
      <c r="AC167" s="1"/>
      <c r="AD167" s="1"/>
      <c r="AQ167" s="1"/>
    </row>
    <row r="168" spans="8:43" x14ac:dyDescent="0.25">
      <c r="H168" s="1"/>
      <c r="I168" s="1"/>
      <c r="J168" s="1"/>
      <c r="K168" s="1"/>
      <c r="L168" s="1"/>
      <c r="M168" s="1"/>
      <c r="N168" s="1"/>
      <c r="O168" s="1"/>
      <c r="P168" s="1"/>
      <c r="Q168" s="1"/>
      <c r="R168" s="1"/>
      <c r="S168" s="1"/>
      <c r="T168" s="1"/>
      <c r="U168" s="1"/>
      <c r="V168" s="1"/>
      <c r="W168" s="1"/>
      <c r="X168" s="1"/>
      <c r="Y168" s="1"/>
      <c r="Z168" s="1"/>
      <c r="AA168" s="1"/>
      <c r="AB168" s="1"/>
      <c r="AC168" s="1"/>
      <c r="AD168" s="1"/>
      <c r="AQ168" s="1"/>
    </row>
    <row r="169" spans="8:43" x14ac:dyDescent="0.25">
      <c r="H169" s="1"/>
      <c r="I169" s="1"/>
      <c r="J169" s="1"/>
      <c r="K169" s="1"/>
      <c r="L169" s="1"/>
      <c r="M169" s="1"/>
      <c r="N169" s="1"/>
      <c r="O169" s="1"/>
      <c r="P169" s="1"/>
      <c r="Q169" s="1"/>
      <c r="R169" s="1"/>
      <c r="S169" s="1"/>
      <c r="T169" s="1"/>
      <c r="U169" s="1"/>
      <c r="V169" s="1"/>
      <c r="W169" s="1"/>
      <c r="X169" s="1"/>
      <c r="Y169" s="1"/>
      <c r="Z169" s="1"/>
      <c r="AA169" s="1"/>
      <c r="AB169" s="1"/>
      <c r="AC169" s="1"/>
      <c r="AD169" s="1"/>
      <c r="AQ169" s="1"/>
    </row>
    <row r="170" spans="8:43" x14ac:dyDescent="0.25">
      <c r="H170" s="1"/>
      <c r="I170" s="1"/>
      <c r="J170" s="1"/>
      <c r="K170" s="1"/>
      <c r="L170" s="1"/>
      <c r="M170" s="1"/>
      <c r="N170" s="1"/>
      <c r="O170" s="1"/>
      <c r="P170" s="1"/>
      <c r="Q170" s="1"/>
      <c r="R170" s="1"/>
      <c r="S170" s="1"/>
      <c r="T170" s="1"/>
      <c r="U170" s="1"/>
      <c r="V170" s="1"/>
      <c r="W170" s="1"/>
      <c r="X170" s="1"/>
      <c r="Y170" s="1"/>
      <c r="Z170" s="1"/>
      <c r="AA170" s="1"/>
      <c r="AB170" s="1"/>
      <c r="AC170" s="1"/>
      <c r="AD170" s="1"/>
      <c r="AQ170" s="1"/>
    </row>
    <row r="171" spans="8:43" x14ac:dyDescent="0.25">
      <c r="H171" s="1"/>
      <c r="I171" s="1"/>
      <c r="J171" s="1"/>
      <c r="K171" s="1"/>
      <c r="L171" s="1"/>
      <c r="M171" s="1"/>
      <c r="N171" s="1"/>
      <c r="O171" s="1"/>
      <c r="P171" s="1"/>
      <c r="Q171" s="1"/>
      <c r="R171" s="1"/>
      <c r="S171" s="1"/>
      <c r="T171" s="1"/>
      <c r="U171" s="1"/>
      <c r="V171" s="1"/>
      <c r="W171" s="1"/>
      <c r="X171" s="1"/>
      <c r="Y171" s="1"/>
      <c r="Z171" s="1"/>
      <c r="AA171" s="1"/>
      <c r="AB171" s="1"/>
      <c r="AC171" s="1"/>
      <c r="AD171" s="1"/>
      <c r="AQ171" s="1"/>
    </row>
    <row r="172" spans="8:43" x14ac:dyDescent="0.25">
      <c r="H172" s="1"/>
      <c r="I172" s="1"/>
      <c r="J172" s="1"/>
      <c r="K172" s="1"/>
      <c r="L172" s="1"/>
      <c r="M172" s="1"/>
      <c r="N172" s="1"/>
      <c r="O172" s="1"/>
      <c r="P172" s="1"/>
      <c r="Q172" s="1"/>
      <c r="R172" s="1"/>
      <c r="S172" s="1"/>
      <c r="T172" s="1"/>
      <c r="U172" s="1"/>
      <c r="V172" s="1"/>
      <c r="W172" s="1"/>
      <c r="X172" s="1"/>
      <c r="Y172" s="1"/>
      <c r="Z172" s="1"/>
      <c r="AA172" s="1"/>
      <c r="AB172" s="1"/>
      <c r="AC172" s="1"/>
      <c r="AD172" s="1"/>
      <c r="AQ172" s="1"/>
    </row>
    <row r="173" spans="8:43" x14ac:dyDescent="0.25">
      <c r="H173" s="1"/>
      <c r="I173" s="1"/>
      <c r="J173" s="1"/>
      <c r="K173" s="1"/>
      <c r="L173" s="1"/>
      <c r="M173" s="1"/>
      <c r="N173" s="1"/>
      <c r="O173" s="1"/>
      <c r="P173" s="1"/>
      <c r="Q173" s="1"/>
      <c r="R173" s="1"/>
      <c r="S173" s="1"/>
      <c r="T173" s="1"/>
      <c r="U173" s="1"/>
      <c r="V173" s="1"/>
      <c r="W173" s="1"/>
      <c r="X173" s="1"/>
      <c r="Y173" s="1"/>
      <c r="Z173" s="1"/>
      <c r="AA173" s="1"/>
      <c r="AB173" s="1"/>
      <c r="AC173" s="1"/>
      <c r="AD173" s="1"/>
      <c r="AQ173" s="1"/>
    </row>
    <row r="174" spans="8:43" x14ac:dyDescent="0.25">
      <c r="H174" s="1"/>
      <c r="I174" s="1"/>
      <c r="J174" s="1"/>
      <c r="K174" s="1"/>
      <c r="L174" s="1"/>
      <c r="M174" s="1"/>
      <c r="N174" s="1"/>
      <c r="O174" s="1"/>
      <c r="P174" s="1"/>
      <c r="Q174" s="1"/>
      <c r="R174" s="1"/>
      <c r="S174" s="1"/>
      <c r="T174" s="1"/>
      <c r="U174" s="1"/>
      <c r="V174" s="1"/>
      <c r="W174" s="1"/>
      <c r="X174" s="1"/>
      <c r="Y174" s="1"/>
      <c r="Z174" s="1"/>
      <c r="AA174" s="1"/>
      <c r="AB174" s="1"/>
      <c r="AC174" s="1"/>
      <c r="AD174" s="1"/>
      <c r="AQ174" s="1"/>
    </row>
    <row r="175" spans="8:43" x14ac:dyDescent="0.25">
      <c r="H175" s="1"/>
      <c r="I175" s="1"/>
      <c r="J175" s="1"/>
      <c r="K175" s="1"/>
      <c r="L175" s="1"/>
      <c r="M175" s="1"/>
      <c r="N175" s="1"/>
      <c r="O175" s="1"/>
      <c r="P175" s="1"/>
      <c r="Q175" s="1"/>
      <c r="R175" s="1"/>
      <c r="S175" s="1"/>
      <c r="T175" s="1"/>
      <c r="U175" s="1"/>
      <c r="V175" s="1"/>
      <c r="W175" s="1"/>
      <c r="X175" s="1"/>
      <c r="Y175" s="1"/>
      <c r="Z175" s="1"/>
      <c r="AA175" s="1"/>
      <c r="AB175" s="1"/>
      <c r="AC175" s="1"/>
      <c r="AD175" s="1"/>
      <c r="AQ175" s="1"/>
    </row>
    <row r="176" spans="8:43" x14ac:dyDescent="0.25">
      <c r="H176" s="1"/>
      <c r="I176" s="1"/>
      <c r="J176" s="1"/>
      <c r="K176" s="1"/>
      <c r="L176" s="1"/>
      <c r="M176" s="1"/>
      <c r="N176" s="1"/>
      <c r="O176" s="1"/>
      <c r="P176" s="1"/>
      <c r="Q176" s="1"/>
      <c r="R176" s="1"/>
      <c r="S176" s="1"/>
      <c r="T176" s="1"/>
      <c r="U176" s="1"/>
      <c r="V176" s="1"/>
      <c r="W176" s="1"/>
      <c r="X176" s="1"/>
      <c r="Y176" s="1"/>
      <c r="Z176" s="1"/>
      <c r="AA176" s="1"/>
      <c r="AB176" s="1"/>
      <c r="AC176" s="1"/>
      <c r="AD176" s="1"/>
      <c r="AQ176" s="1"/>
    </row>
    <row r="177" spans="8:43" x14ac:dyDescent="0.25">
      <c r="H177" s="1"/>
      <c r="I177" s="1"/>
      <c r="J177" s="1"/>
      <c r="K177" s="1"/>
      <c r="L177" s="1"/>
      <c r="M177" s="1"/>
      <c r="N177" s="1"/>
      <c r="O177" s="1"/>
      <c r="P177" s="1"/>
      <c r="Q177" s="1"/>
      <c r="R177" s="1"/>
      <c r="S177" s="1"/>
      <c r="T177" s="1"/>
      <c r="U177" s="1"/>
      <c r="V177" s="1"/>
      <c r="W177" s="1"/>
      <c r="X177" s="1"/>
      <c r="Y177" s="1"/>
      <c r="Z177" s="1"/>
      <c r="AA177" s="1"/>
      <c r="AB177" s="1"/>
      <c r="AC177" s="1"/>
      <c r="AD177" s="1"/>
      <c r="AQ177" s="1"/>
    </row>
    <row r="178" spans="8:43" x14ac:dyDescent="0.25">
      <c r="H178" s="1"/>
      <c r="I178" s="1"/>
      <c r="J178" s="1"/>
      <c r="K178" s="1"/>
      <c r="L178" s="1"/>
      <c r="M178" s="1"/>
      <c r="N178" s="1"/>
      <c r="O178" s="1"/>
      <c r="P178" s="1"/>
      <c r="Q178" s="1"/>
      <c r="R178" s="1"/>
      <c r="S178" s="1"/>
      <c r="T178" s="1"/>
      <c r="U178" s="1"/>
      <c r="V178" s="1"/>
      <c r="W178" s="1"/>
      <c r="X178" s="1"/>
      <c r="Y178" s="1"/>
      <c r="Z178" s="1"/>
      <c r="AA178" s="1"/>
      <c r="AB178" s="1"/>
      <c r="AC178" s="1"/>
      <c r="AD178" s="1"/>
      <c r="AQ178" s="1"/>
    </row>
    <row r="179" spans="8:43" x14ac:dyDescent="0.25">
      <c r="H179" s="1"/>
      <c r="I179" s="1"/>
      <c r="J179" s="1"/>
      <c r="K179" s="1"/>
      <c r="L179" s="1"/>
      <c r="M179" s="1"/>
      <c r="N179" s="1"/>
      <c r="O179" s="1"/>
      <c r="P179" s="1"/>
      <c r="Q179" s="1"/>
      <c r="R179" s="1"/>
      <c r="S179" s="1"/>
      <c r="T179" s="1"/>
      <c r="U179" s="1"/>
      <c r="V179" s="1"/>
      <c r="W179" s="1"/>
      <c r="X179" s="1"/>
      <c r="Y179" s="1"/>
      <c r="Z179" s="1"/>
      <c r="AA179" s="1"/>
      <c r="AB179" s="1"/>
      <c r="AC179" s="1"/>
      <c r="AD179" s="1"/>
      <c r="AQ179" s="1"/>
    </row>
    <row r="180" spans="8:43" x14ac:dyDescent="0.25">
      <c r="H180" s="1"/>
      <c r="I180" s="1"/>
      <c r="J180" s="1"/>
      <c r="K180" s="1"/>
      <c r="L180" s="1"/>
      <c r="M180" s="1"/>
      <c r="N180" s="1"/>
      <c r="O180" s="1"/>
      <c r="P180" s="1"/>
      <c r="Q180" s="1"/>
      <c r="R180" s="1"/>
      <c r="S180" s="1"/>
      <c r="T180" s="1"/>
      <c r="U180" s="1"/>
      <c r="V180" s="1"/>
      <c r="W180" s="1"/>
      <c r="X180" s="1"/>
      <c r="Y180" s="1"/>
      <c r="Z180" s="1"/>
      <c r="AA180" s="1"/>
      <c r="AB180" s="1"/>
      <c r="AC180" s="1"/>
      <c r="AD180" s="1"/>
      <c r="AQ180" s="1"/>
    </row>
    <row r="181" spans="8:43" x14ac:dyDescent="0.25">
      <c r="H181" s="1"/>
      <c r="I181" s="1"/>
      <c r="J181" s="1"/>
      <c r="K181" s="1"/>
      <c r="L181" s="1"/>
      <c r="M181" s="1"/>
      <c r="N181" s="1"/>
      <c r="O181" s="1"/>
      <c r="P181" s="1"/>
      <c r="Q181" s="1"/>
      <c r="R181" s="1"/>
      <c r="S181" s="1"/>
      <c r="T181" s="1"/>
      <c r="U181" s="1"/>
      <c r="V181" s="1"/>
      <c r="W181" s="1"/>
      <c r="X181" s="1"/>
      <c r="Y181" s="1"/>
      <c r="Z181" s="1"/>
      <c r="AA181" s="1"/>
      <c r="AB181" s="1"/>
      <c r="AC181" s="1"/>
      <c r="AD181" s="1"/>
      <c r="AQ181" s="1"/>
    </row>
    <row r="182" spans="8:43" x14ac:dyDescent="0.25">
      <c r="H182" s="1"/>
      <c r="I182" s="1"/>
      <c r="J182" s="1"/>
      <c r="K182" s="1"/>
      <c r="L182" s="1"/>
      <c r="M182" s="1"/>
      <c r="N182" s="1"/>
      <c r="O182" s="1"/>
      <c r="P182" s="1"/>
      <c r="Q182" s="1"/>
      <c r="R182" s="1"/>
      <c r="S182" s="1"/>
      <c r="T182" s="1"/>
      <c r="U182" s="1"/>
      <c r="V182" s="1"/>
      <c r="W182" s="1"/>
      <c r="X182" s="1"/>
      <c r="Y182" s="1"/>
      <c r="Z182" s="1"/>
      <c r="AA182" s="1"/>
      <c r="AB182" s="1"/>
      <c r="AC182" s="1"/>
      <c r="AD182" s="1"/>
      <c r="AQ182" s="1"/>
    </row>
    <row r="183" spans="8:43" x14ac:dyDescent="0.25">
      <c r="H183" s="1"/>
      <c r="I183" s="1"/>
      <c r="J183" s="1"/>
      <c r="K183" s="1"/>
      <c r="L183" s="1"/>
      <c r="M183" s="1"/>
      <c r="N183" s="1"/>
      <c r="O183" s="1"/>
      <c r="P183" s="1"/>
      <c r="Q183" s="1"/>
      <c r="R183" s="1"/>
      <c r="S183" s="1"/>
      <c r="T183" s="1"/>
      <c r="U183" s="1"/>
      <c r="V183" s="1"/>
      <c r="W183" s="1"/>
      <c r="X183" s="1"/>
      <c r="Y183" s="1"/>
      <c r="Z183" s="1"/>
      <c r="AA183" s="1"/>
      <c r="AB183" s="1"/>
      <c r="AC183" s="1"/>
      <c r="AD183" s="1"/>
      <c r="AQ183" s="1"/>
    </row>
    <row r="184" spans="8:43" x14ac:dyDescent="0.25">
      <c r="H184" s="1"/>
      <c r="I184" s="1"/>
      <c r="J184" s="1"/>
      <c r="K184" s="1"/>
      <c r="L184" s="1"/>
      <c r="M184" s="1"/>
      <c r="N184" s="1"/>
      <c r="O184" s="1"/>
      <c r="P184" s="1"/>
      <c r="Q184" s="1"/>
      <c r="R184" s="1"/>
      <c r="S184" s="1"/>
      <c r="T184" s="1"/>
      <c r="U184" s="1"/>
      <c r="V184" s="1"/>
      <c r="W184" s="1"/>
      <c r="X184" s="1"/>
      <c r="Y184" s="1"/>
      <c r="Z184" s="1"/>
      <c r="AA184" s="1"/>
      <c r="AB184" s="1"/>
      <c r="AC184" s="1"/>
      <c r="AD184" s="1"/>
      <c r="AQ184" s="1"/>
    </row>
    <row r="185" spans="8:43" x14ac:dyDescent="0.25">
      <c r="H185" s="1"/>
      <c r="I185" s="1"/>
      <c r="J185" s="1"/>
      <c r="K185" s="1"/>
      <c r="L185" s="1"/>
      <c r="M185" s="1"/>
      <c r="N185" s="1"/>
      <c r="O185" s="1"/>
      <c r="P185" s="1"/>
      <c r="Q185" s="1"/>
      <c r="R185" s="1"/>
      <c r="S185" s="1"/>
      <c r="T185" s="1"/>
      <c r="U185" s="1"/>
      <c r="V185" s="1"/>
      <c r="W185" s="1"/>
      <c r="X185" s="1"/>
      <c r="Y185" s="1"/>
      <c r="Z185" s="1"/>
      <c r="AA185" s="1"/>
      <c r="AB185" s="1"/>
      <c r="AC185" s="1"/>
      <c r="AD185" s="1"/>
      <c r="AQ185" s="1"/>
    </row>
    <row r="186" spans="8:43" x14ac:dyDescent="0.25">
      <c r="H186" s="1"/>
      <c r="I186" s="1"/>
      <c r="J186" s="1"/>
      <c r="K186" s="1"/>
      <c r="L186" s="1"/>
      <c r="M186" s="1"/>
      <c r="N186" s="1"/>
      <c r="O186" s="1"/>
      <c r="P186" s="1"/>
      <c r="Q186" s="1"/>
      <c r="R186" s="1"/>
      <c r="S186" s="1"/>
      <c r="T186" s="1"/>
      <c r="U186" s="1"/>
      <c r="V186" s="1"/>
      <c r="W186" s="1"/>
      <c r="X186" s="1"/>
      <c r="Y186" s="1"/>
      <c r="Z186" s="1"/>
      <c r="AA186" s="1"/>
      <c r="AB186" s="1"/>
      <c r="AC186" s="1"/>
      <c r="AD186" s="1"/>
      <c r="AQ186" s="1"/>
    </row>
    <row r="187" spans="8:43" x14ac:dyDescent="0.25">
      <c r="H187" s="1"/>
      <c r="I187" s="1"/>
      <c r="J187" s="1"/>
      <c r="K187" s="1"/>
      <c r="L187" s="1"/>
      <c r="M187" s="1"/>
      <c r="N187" s="1"/>
      <c r="O187" s="1"/>
      <c r="P187" s="1"/>
      <c r="Q187" s="1"/>
      <c r="R187" s="1"/>
      <c r="S187" s="1"/>
      <c r="T187" s="1"/>
      <c r="U187" s="1"/>
      <c r="V187" s="1"/>
      <c r="W187" s="1"/>
      <c r="X187" s="1"/>
      <c r="Y187" s="1"/>
      <c r="Z187" s="1"/>
      <c r="AA187" s="1"/>
      <c r="AB187" s="1"/>
      <c r="AC187" s="1"/>
      <c r="AD187" s="1"/>
      <c r="AQ187" s="1"/>
    </row>
    <row r="188" spans="8:43" x14ac:dyDescent="0.25">
      <c r="H188" s="1"/>
      <c r="I188" s="1"/>
      <c r="J188" s="1"/>
      <c r="K188" s="1"/>
      <c r="L188" s="1"/>
      <c r="M188" s="1"/>
      <c r="N188" s="1"/>
      <c r="O188" s="1"/>
      <c r="P188" s="1"/>
      <c r="Q188" s="1"/>
      <c r="R188" s="1"/>
      <c r="S188" s="1"/>
      <c r="T188" s="1"/>
      <c r="U188" s="1"/>
      <c r="V188" s="1"/>
      <c r="W188" s="1"/>
      <c r="X188" s="1"/>
      <c r="Y188" s="1"/>
      <c r="Z188" s="1"/>
      <c r="AA188" s="1"/>
      <c r="AB188" s="1"/>
      <c r="AC188" s="1"/>
      <c r="AD188" s="1"/>
      <c r="AQ188" s="1"/>
    </row>
    <row r="189" spans="8:43" x14ac:dyDescent="0.25">
      <c r="H189" s="1"/>
      <c r="I189" s="1"/>
      <c r="J189" s="1"/>
      <c r="K189" s="1"/>
      <c r="L189" s="1"/>
      <c r="M189" s="1"/>
      <c r="N189" s="1"/>
      <c r="O189" s="1"/>
      <c r="P189" s="1"/>
      <c r="Q189" s="1"/>
      <c r="R189" s="1"/>
      <c r="S189" s="1"/>
      <c r="T189" s="1"/>
      <c r="U189" s="1"/>
      <c r="V189" s="1"/>
      <c r="W189" s="1"/>
      <c r="X189" s="1"/>
      <c r="Y189" s="1"/>
      <c r="Z189" s="1"/>
      <c r="AA189" s="1"/>
      <c r="AB189" s="1"/>
      <c r="AC189" s="1"/>
      <c r="AD189" s="1"/>
      <c r="AQ189" s="1"/>
    </row>
    <row r="190" spans="8:43" x14ac:dyDescent="0.25">
      <c r="H190" s="1"/>
      <c r="I190" s="1"/>
      <c r="J190" s="1"/>
      <c r="K190" s="1"/>
      <c r="L190" s="1"/>
      <c r="M190" s="1"/>
      <c r="N190" s="1"/>
      <c r="O190" s="1"/>
      <c r="P190" s="1"/>
      <c r="Q190" s="1"/>
      <c r="R190" s="1"/>
      <c r="S190" s="1"/>
      <c r="T190" s="1"/>
      <c r="U190" s="1"/>
      <c r="V190" s="1"/>
      <c r="W190" s="1"/>
      <c r="X190" s="1"/>
      <c r="Y190" s="1"/>
      <c r="Z190" s="1"/>
      <c r="AA190" s="1"/>
      <c r="AB190" s="1"/>
      <c r="AC190" s="1"/>
      <c r="AD190" s="1"/>
      <c r="AQ190" s="1"/>
    </row>
    <row r="191" spans="8:43" x14ac:dyDescent="0.25">
      <c r="H191" s="1"/>
      <c r="I191" s="1"/>
      <c r="J191" s="1"/>
      <c r="K191" s="1"/>
      <c r="L191" s="1"/>
      <c r="M191" s="1"/>
      <c r="N191" s="1"/>
      <c r="O191" s="1"/>
      <c r="P191" s="1"/>
      <c r="Q191" s="1"/>
      <c r="R191" s="1"/>
      <c r="S191" s="1"/>
      <c r="T191" s="1"/>
      <c r="U191" s="1"/>
      <c r="V191" s="1"/>
      <c r="W191" s="1"/>
      <c r="X191" s="1"/>
      <c r="Y191" s="1"/>
      <c r="Z191" s="1"/>
      <c r="AA191" s="1"/>
      <c r="AB191" s="1"/>
      <c r="AC191" s="1"/>
      <c r="AD191" s="1"/>
      <c r="AQ191" s="1"/>
    </row>
    <row r="192" spans="8:43" x14ac:dyDescent="0.25">
      <c r="H192" s="1"/>
      <c r="I192" s="1"/>
      <c r="J192" s="1"/>
      <c r="K192" s="1"/>
      <c r="L192" s="1"/>
      <c r="M192" s="1"/>
      <c r="N192" s="1"/>
      <c r="O192" s="1"/>
      <c r="P192" s="1"/>
      <c r="Q192" s="1"/>
      <c r="R192" s="1"/>
      <c r="S192" s="1"/>
      <c r="T192" s="1"/>
      <c r="U192" s="1"/>
      <c r="V192" s="1"/>
      <c r="W192" s="1"/>
      <c r="X192" s="1"/>
      <c r="Y192" s="1"/>
      <c r="Z192" s="1"/>
      <c r="AA192" s="1"/>
      <c r="AB192" s="1"/>
      <c r="AC192" s="1"/>
      <c r="AD192" s="1"/>
      <c r="AQ192" s="1"/>
    </row>
    <row r="193" spans="8:43" x14ac:dyDescent="0.25">
      <c r="H193" s="1"/>
      <c r="I193" s="1"/>
      <c r="J193" s="1"/>
      <c r="K193" s="1"/>
      <c r="L193" s="1"/>
      <c r="M193" s="1"/>
      <c r="N193" s="1"/>
      <c r="O193" s="1"/>
      <c r="P193" s="1"/>
      <c r="Q193" s="1"/>
      <c r="R193" s="1"/>
      <c r="S193" s="1"/>
      <c r="T193" s="1"/>
      <c r="U193" s="1"/>
      <c r="V193" s="1"/>
      <c r="W193" s="1"/>
      <c r="X193" s="1"/>
      <c r="Y193" s="1"/>
      <c r="Z193" s="1"/>
      <c r="AA193" s="1"/>
      <c r="AB193" s="1"/>
      <c r="AC193" s="1"/>
      <c r="AD193" s="1"/>
      <c r="AQ193" s="1"/>
    </row>
    <row r="194" spans="8:43" x14ac:dyDescent="0.25">
      <c r="H194" s="1"/>
      <c r="I194" s="1"/>
      <c r="J194" s="1"/>
      <c r="K194" s="1"/>
      <c r="L194" s="1"/>
      <c r="M194" s="1"/>
      <c r="N194" s="1"/>
      <c r="O194" s="1"/>
      <c r="P194" s="1"/>
      <c r="Q194" s="1"/>
      <c r="R194" s="1"/>
      <c r="S194" s="1"/>
      <c r="T194" s="1"/>
      <c r="U194" s="1"/>
      <c r="V194" s="1"/>
      <c r="W194" s="1"/>
      <c r="X194" s="1"/>
      <c r="Y194" s="1"/>
      <c r="Z194" s="1"/>
      <c r="AA194" s="1"/>
      <c r="AB194" s="1"/>
      <c r="AC194" s="1"/>
      <c r="AD194" s="1"/>
      <c r="AQ194" s="1"/>
    </row>
    <row r="195" spans="8:43" x14ac:dyDescent="0.25">
      <c r="H195" s="1"/>
      <c r="I195" s="1"/>
      <c r="J195" s="1"/>
      <c r="K195" s="1"/>
      <c r="L195" s="1"/>
      <c r="M195" s="1"/>
      <c r="N195" s="1"/>
      <c r="O195" s="1"/>
      <c r="P195" s="1"/>
      <c r="Q195" s="1"/>
      <c r="R195" s="1"/>
      <c r="S195" s="1"/>
      <c r="T195" s="1"/>
      <c r="U195" s="1"/>
      <c r="V195" s="1"/>
      <c r="W195" s="1"/>
      <c r="X195" s="1"/>
      <c r="Y195" s="1"/>
      <c r="Z195" s="1"/>
      <c r="AA195" s="1"/>
      <c r="AB195" s="1"/>
      <c r="AC195" s="1"/>
      <c r="AD195" s="1"/>
      <c r="AQ195" s="1"/>
    </row>
    <row r="196" spans="8:43" x14ac:dyDescent="0.25">
      <c r="H196" s="1"/>
      <c r="I196" s="1"/>
      <c r="J196" s="1"/>
      <c r="K196" s="1"/>
      <c r="L196" s="1"/>
      <c r="M196" s="1"/>
      <c r="N196" s="1"/>
      <c r="O196" s="1"/>
      <c r="P196" s="1"/>
      <c r="Q196" s="1"/>
      <c r="R196" s="1"/>
      <c r="S196" s="1"/>
      <c r="T196" s="1"/>
      <c r="U196" s="1"/>
      <c r="V196" s="1"/>
      <c r="W196" s="1"/>
      <c r="X196" s="1"/>
      <c r="Y196" s="1"/>
      <c r="Z196" s="1"/>
      <c r="AA196" s="1"/>
      <c r="AB196" s="1"/>
      <c r="AC196" s="1"/>
      <c r="AD196" s="1"/>
      <c r="AQ196" s="1"/>
    </row>
    <row r="197" spans="8:43" x14ac:dyDescent="0.25">
      <c r="H197" s="1"/>
      <c r="I197" s="1"/>
      <c r="J197" s="1"/>
      <c r="K197" s="1"/>
      <c r="L197" s="1"/>
      <c r="M197" s="1"/>
      <c r="N197" s="1"/>
      <c r="O197" s="1"/>
      <c r="P197" s="1"/>
      <c r="Q197" s="1"/>
      <c r="R197" s="1"/>
      <c r="S197" s="1"/>
      <c r="T197" s="1"/>
      <c r="U197" s="1"/>
      <c r="V197" s="1"/>
      <c r="W197" s="1"/>
      <c r="X197" s="1"/>
      <c r="Y197" s="1"/>
      <c r="Z197" s="1"/>
      <c r="AA197" s="1"/>
      <c r="AB197" s="1"/>
      <c r="AC197" s="1"/>
      <c r="AD197" s="1"/>
      <c r="AQ197" s="1"/>
    </row>
    <row r="198" spans="8:43" x14ac:dyDescent="0.25">
      <c r="H198" s="1"/>
      <c r="I198" s="1"/>
      <c r="J198" s="1"/>
      <c r="K198" s="1"/>
      <c r="L198" s="1"/>
      <c r="M198" s="1"/>
      <c r="N198" s="1"/>
      <c r="O198" s="1"/>
      <c r="P198" s="1"/>
      <c r="Q198" s="1"/>
      <c r="R198" s="1"/>
      <c r="S198" s="1"/>
      <c r="T198" s="1"/>
      <c r="U198" s="1"/>
      <c r="V198" s="1"/>
      <c r="W198" s="1"/>
      <c r="X198" s="1"/>
      <c r="Y198" s="1"/>
      <c r="Z198" s="1"/>
      <c r="AA198" s="1"/>
      <c r="AB198" s="1"/>
      <c r="AC198" s="1"/>
      <c r="AD198" s="1"/>
      <c r="AQ198" s="1"/>
    </row>
    <row r="199" spans="8:43" x14ac:dyDescent="0.25">
      <c r="H199" s="1"/>
      <c r="I199" s="1"/>
      <c r="J199" s="1"/>
      <c r="K199" s="1"/>
      <c r="L199" s="1"/>
      <c r="M199" s="1"/>
      <c r="N199" s="1"/>
      <c r="O199" s="1"/>
      <c r="P199" s="1"/>
      <c r="Q199" s="1"/>
      <c r="R199" s="1"/>
      <c r="S199" s="1"/>
      <c r="T199" s="1"/>
      <c r="U199" s="1"/>
      <c r="V199" s="1"/>
      <c r="W199" s="1"/>
      <c r="X199" s="1"/>
      <c r="Y199" s="1"/>
      <c r="Z199" s="1"/>
      <c r="AA199" s="1"/>
      <c r="AB199" s="1"/>
      <c r="AC199" s="1"/>
      <c r="AD199" s="1"/>
      <c r="AQ199" s="1"/>
    </row>
    <row r="200" spans="8:43" x14ac:dyDescent="0.25">
      <c r="H200" s="1"/>
      <c r="I200" s="1"/>
      <c r="J200" s="1"/>
      <c r="K200" s="1"/>
      <c r="L200" s="1"/>
      <c r="M200" s="1"/>
      <c r="N200" s="1"/>
      <c r="O200" s="1"/>
      <c r="P200" s="1"/>
      <c r="Q200" s="1"/>
      <c r="R200" s="1"/>
      <c r="S200" s="1"/>
      <c r="T200" s="1"/>
      <c r="U200" s="1"/>
      <c r="V200" s="1"/>
      <c r="W200" s="1"/>
      <c r="X200" s="1"/>
      <c r="Y200" s="1"/>
      <c r="Z200" s="1"/>
      <c r="AA200" s="1"/>
      <c r="AB200" s="1"/>
      <c r="AC200" s="1"/>
      <c r="AD200" s="1"/>
      <c r="AQ200" s="1"/>
    </row>
    <row r="201" spans="8:43" x14ac:dyDescent="0.25">
      <c r="H201" s="1"/>
      <c r="I201" s="1"/>
      <c r="J201" s="1"/>
      <c r="K201" s="1"/>
      <c r="L201" s="1"/>
      <c r="M201" s="1"/>
      <c r="N201" s="1"/>
      <c r="O201" s="1"/>
      <c r="P201" s="1"/>
      <c r="Q201" s="1"/>
      <c r="R201" s="1"/>
      <c r="S201" s="1"/>
      <c r="T201" s="1"/>
      <c r="U201" s="1"/>
      <c r="V201" s="1"/>
      <c r="W201" s="1"/>
      <c r="X201" s="1"/>
      <c r="Y201" s="1"/>
      <c r="Z201" s="1"/>
      <c r="AA201" s="1"/>
      <c r="AB201" s="1"/>
      <c r="AC201" s="1"/>
      <c r="AD201" s="1"/>
      <c r="AQ201" s="1"/>
    </row>
    <row r="202" spans="8:43" x14ac:dyDescent="0.25">
      <c r="H202" s="1"/>
      <c r="I202" s="1"/>
      <c r="J202" s="1"/>
      <c r="K202" s="1"/>
      <c r="L202" s="1"/>
      <c r="M202" s="1"/>
      <c r="N202" s="1"/>
      <c r="O202" s="1"/>
      <c r="P202" s="1"/>
      <c r="Q202" s="1"/>
      <c r="R202" s="1"/>
      <c r="S202" s="1"/>
      <c r="T202" s="1"/>
      <c r="U202" s="1"/>
      <c r="V202" s="1"/>
      <c r="W202" s="1"/>
      <c r="X202" s="1"/>
      <c r="Y202" s="1"/>
      <c r="Z202" s="1"/>
      <c r="AA202" s="1"/>
      <c r="AB202" s="1"/>
      <c r="AC202" s="1"/>
      <c r="AD202" s="1"/>
      <c r="AQ202" s="1"/>
    </row>
    <row r="203" spans="8:43" x14ac:dyDescent="0.25">
      <c r="H203" s="1"/>
      <c r="I203" s="1"/>
      <c r="J203" s="1"/>
      <c r="K203" s="1"/>
      <c r="L203" s="1"/>
      <c r="M203" s="1"/>
      <c r="N203" s="1"/>
      <c r="O203" s="1"/>
      <c r="P203" s="1"/>
      <c r="Q203" s="1"/>
      <c r="R203" s="1"/>
      <c r="S203" s="1"/>
      <c r="T203" s="1"/>
      <c r="U203" s="1"/>
      <c r="V203" s="1"/>
      <c r="W203" s="1"/>
      <c r="X203" s="1"/>
      <c r="Y203" s="1"/>
      <c r="Z203" s="1"/>
      <c r="AA203" s="1"/>
      <c r="AB203" s="1"/>
      <c r="AC203" s="1"/>
      <c r="AD203" s="1"/>
      <c r="AQ203" s="1"/>
    </row>
    <row r="204" spans="8:43" x14ac:dyDescent="0.25">
      <c r="H204" s="1"/>
      <c r="I204" s="1"/>
      <c r="J204" s="1"/>
      <c r="K204" s="1"/>
      <c r="L204" s="1"/>
      <c r="M204" s="1"/>
      <c r="N204" s="1"/>
      <c r="O204" s="1"/>
      <c r="P204" s="1"/>
      <c r="Q204" s="1"/>
      <c r="R204" s="1"/>
      <c r="S204" s="1"/>
      <c r="T204" s="1"/>
      <c r="U204" s="1"/>
      <c r="V204" s="1"/>
      <c r="W204" s="1"/>
      <c r="X204" s="1"/>
      <c r="Y204" s="1"/>
      <c r="Z204" s="1"/>
      <c r="AA204" s="1"/>
      <c r="AB204" s="1"/>
      <c r="AC204" s="1"/>
      <c r="AD204" s="1"/>
      <c r="AQ204" s="1"/>
    </row>
    <row r="205" spans="8:43" x14ac:dyDescent="0.25">
      <c r="H205" s="1"/>
      <c r="I205" s="1"/>
      <c r="J205" s="1"/>
      <c r="K205" s="1"/>
      <c r="L205" s="1"/>
      <c r="M205" s="1"/>
      <c r="N205" s="1"/>
      <c r="O205" s="1"/>
      <c r="P205" s="1"/>
      <c r="Q205" s="1"/>
      <c r="R205" s="1"/>
      <c r="S205" s="1"/>
      <c r="T205" s="1"/>
      <c r="U205" s="1"/>
      <c r="V205" s="1"/>
      <c r="W205" s="1"/>
      <c r="X205" s="1"/>
      <c r="Y205" s="1"/>
      <c r="Z205" s="1"/>
      <c r="AA205" s="1"/>
      <c r="AB205" s="1"/>
      <c r="AC205" s="1"/>
      <c r="AD205" s="1"/>
      <c r="AQ205" s="1"/>
    </row>
    <row r="206" spans="8:43" x14ac:dyDescent="0.25">
      <c r="H206" s="1"/>
      <c r="I206" s="1"/>
      <c r="J206" s="1"/>
      <c r="K206" s="1"/>
      <c r="L206" s="1"/>
      <c r="M206" s="1"/>
      <c r="N206" s="1"/>
      <c r="O206" s="1"/>
      <c r="P206" s="1"/>
      <c r="Q206" s="1"/>
      <c r="R206" s="1"/>
      <c r="S206" s="1"/>
      <c r="T206" s="1"/>
      <c r="U206" s="1"/>
      <c r="V206" s="1"/>
      <c r="W206" s="1"/>
      <c r="X206" s="1"/>
      <c r="Y206" s="1"/>
      <c r="Z206" s="1"/>
      <c r="AA206" s="1"/>
      <c r="AB206" s="1"/>
      <c r="AC206" s="1"/>
      <c r="AD206" s="1"/>
      <c r="AQ206" s="1"/>
    </row>
    <row r="207" spans="8:43" x14ac:dyDescent="0.25">
      <c r="H207" s="1"/>
      <c r="I207" s="1"/>
      <c r="J207" s="1"/>
      <c r="K207" s="1"/>
      <c r="L207" s="1"/>
      <c r="M207" s="1"/>
      <c r="N207" s="1"/>
      <c r="O207" s="1"/>
      <c r="P207" s="1"/>
      <c r="Q207" s="1"/>
      <c r="R207" s="1"/>
      <c r="S207" s="1"/>
      <c r="T207" s="1"/>
      <c r="U207" s="1"/>
      <c r="V207" s="1"/>
      <c r="W207" s="1"/>
      <c r="X207" s="1"/>
      <c r="Y207" s="1"/>
      <c r="Z207" s="1"/>
      <c r="AA207" s="1"/>
      <c r="AB207" s="1"/>
      <c r="AC207" s="1"/>
      <c r="AD207" s="1"/>
      <c r="AQ207" s="1"/>
    </row>
    <row r="208" spans="8:43" x14ac:dyDescent="0.25">
      <c r="H208" s="1"/>
      <c r="I208" s="1"/>
      <c r="J208" s="1"/>
      <c r="K208" s="1"/>
      <c r="L208" s="1"/>
      <c r="M208" s="1"/>
      <c r="N208" s="1"/>
      <c r="O208" s="1"/>
      <c r="P208" s="1"/>
      <c r="Q208" s="1"/>
      <c r="R208" s="1"/>
      <c r="S208" s="1"/>
      <c r="T208" s="1"/>
      <c r="U208" s="1"/>
      <c r="V208" s="1"/>
      <c r="W208" s="1"/>
      <c r="X208" s="1"/>
      <c r="Y208" s="1"/>
      <c r="Z208" s="1"/>
      <c r="AA208" s="1"/>
      <c r="AB208" s="1"/>
      <c r="AC208" s="1"/>
      <c r="AD208" s="1"/>
      <c r="AQ208" s="1"/>
    </row>
    <row r="209" spans="8:43" x14ac:dyDescent="0.25">
      <c r="H209" s="1"/>
      <c r="I209" s="1"/>
      <c r="J209" s="1"/>
      <c r="K209" s="1"/>
      <c r="L209" s="1"/>
      <c r="M209" s="1"/>
      <c r="N209" s="1"/>
      <c r="O209" s="1"/>
      <c r="P209" s="1"/>
      <c r="Q209" s="1"/>
      <c r="R209" s="1"/>
      <c r="S209" s="1"/>
      <c r="T209" s="1"/>
      <c r="U209" s="1"/>
      <c r="V209" s="1"/>
      <c r="W209" s="1"/>
      <c r="X209" s="1"/>
      <c r="Y209" s="1"/>
      <c r="Z209" s="1"/>
      <c r="AA209" s="1"/>
      <c r="AB209" s="1"/>
      <c r="AC209" s="1"/>
      <c r="AD209" s="1"/>
      <c r="AQ209" s="1"/>
    </row>
    <row r="210" spans="8:43" x14ac:dyDescent="0.25">
      <c r="H210" s="1"/>
      <c r="I210" s="1"/>
      <c r="J210" s="1"/>
      <c r="K210" s="1"/>
      <c r="L210" s="1"/>
      <c r="M210" s="1"/>
      <c r="N210" s="1"/>
      <c r="O210" s="1"/>
      <c r="P210" s="1"/>
      <c r="Q210" s="1"/>
      <c r="R210" s="1"/>
      <c r="S210" s="1"/>
      <c r="T210" s="1"/>
      <c r="U210" s="1"/>
      <c r="V210" s="1"/>
      <c r="W210" s="1"/>
      <c r="X210" s="1"/>
      <c r="Y210" s="1"/>
      <c r="Z210" s="1"/>
      <c r="AA210" s="1"/>
      <c r="AB210" s="1"/>
      <c r="AC210" s="1"/>
      <c r="AD210" s="1"/>
      <c r="AQ210" s="1"/>
    </row>
    <row r="211" spans="8:43" x14ac:dyDescent="0.25">
      <c r="H211" s="1"/>
      <c r="I211" s="1"/>
      <c r="J211" s="1"/>
      <c r="K211" s="1"/>
      <c r="L211" s="1"/>
      <c r="M211" s="1"/>
      <c r="N211" s="1"/>
      <c r="O211" s="1"/>
      <c r="P211" s="1"/>
      <c r="Q211" s="1"/>
      <c r="R211" s="1"/>
      <c r="S211" s="1"/>
      <c r="T211" s="1"/>
      <c r="U211" s="1"/>
      <c r="V211" s="1"/>
      <c r="W211" s="1"/>
      <c r="X211" s="1"/>
      <c r="Y211" s="1"/>
      <c r="Z211" s="1"/>
      <c r="AA211" s="1"/>
      <c r="AB211" s="1"/>
      <c r="AC211" s="1"/>
      <c r="AD211" s="1"/>
      <c r="AQ211" s="1"/>
    </row>
    <row r="212" spans="8:43" x14ac:dyDescent="0.25">
      <c r="H212" s="1"/>
      <c r="I212" s="1"/>
      <c r="J212" s="1"/>
      <c r="K212" s="1"/>
      <c r="L212" s="1"/>
      <c r="M212" s="1"/>
      <c r="N212" s="1"/>
      <c r="O212" s="1"/>
      <c r="P212" s="1"/>
      <c r="Q212" s="1"/>
      <c r="R212" s="1"/>
      <c r="S212" s="1"/>
      <c r="T212" s="1"/>
      <c r="U212" s="1"/>
      <c r="V212" s="1"/>
      <c r="W212" s="1"/>
      <c r="X212" s="1"/>
      <c r="Y212" s="1"/>
      <c r="Z212" s="1"/>
      <c r="AA212" s="1"/>
      <c r="AB212" s="1"/>
      <c r="AC212" s="1"/>
      <c r="AD212" s="1"/>
      <c r="AQ212" s="1"/>
    </row>
    <row r="213" spans="8:43" x14ac:dyDescent="0.25">
      <c r="H213" s="1"/>
      <c r="I213" s="1"/>
      <c r="J213" s="1"/>
      <c r="K213" s="1"/>
      <c r="L213" s="1"/>
      <c r="M213" s="1"/>
      <c r="N213" s="1"/>
      <c r="O213" s="1"/>
      <c r="P213" s="1"/>
      <c r="Q213" s="1"/>
      <c r="R213" s="1"/>
      <c r="S213" s="1"/>
      <c r="T213" s="1"/>
      <c r="U213" s="1"/>
      <c r="V213" s="1"/>
      <c r="W213" s="1"/>
      <c r="X213" s="1"/>
      <c r="Y213" s="1"/>
      <c r="Z213" s="1"/>
      <c r="AA213" s="1"/>
      <c r="AB213" s="1"/>
      <c r="AC213" s="1"/>
      <c r="AD213" s="1"/>
      <c r="AQ213" s="1"/>
    </row>
    <row r="214" spans="8:43" x14ac:dyDescent="0.25">
      <c r="H214" s="1"/>
      <c r="I214" s="1"/>
      <c r="J214" s="1"/>
      <c r="K214" s="1"/>
      <c r="L214" s="1"/>
      <c r="M214" s="1"/>
      <c r="N214" s="1"/>
      <c r="O214" s="1"/>
      <c r="P214" s="1"/>
      <c r="Q214" s="1"/>
      <c r="R214" s="1"/>
      <c r="S214" s="1"/>
      <c r="T214" s="1"/>
      <c r="U214" s="1"/>
      <c r="V214" s="1"/>
      <c r="W214" s="1"/>
      <c r="X214" s="1"/>
      <c r="Y214" s="1"/>
      <c r="Z214" s="1"/>
      <c r="AA214" s="1"/>
      <c r="AB214" s="1"/>
      <c r="AC214" s="1"/>
      <c r="AD214" s="1"/>
      <c r="AQ214" s="1"/>
    </row>
    <row r="215" spans="8:43" x14ac:dyDescent="0.25">
      <c r="H215" s="1"/>
      <c r="I215" s="1"/>
      <c r="J215" s="1"/>
      <c r="K215" s="1"/>
      <c r="L215" s="1"/>
      <c r="M215" s="1"/>
      <c r="N215" s="1"/>
      <c r="O215" s="1"/>
      <c r="P215" s="1"/>
      <c r="Q215" s="1"/>
      <c r="R215" s="1"/>
      <c r="S215" s="1"/>
      <c r="T215" s="1"/>
      <c r="U215" s="1"/>
      <c r="V215" s="1"/>
      <c r="W215" s="1"/>
      <c r="X215" s="1"/>
      <c r="Y215" s="1"/>
      <c r="Z215" s="1"/>
      <c r="AA215" s="1"/>
      <c r="AB215" s="1"/>
      <c r="AC215" s="1"/>
      <c r="AD215" s="1"/>
      <c r="AQ215" s="1"/>
    </row>
    <row r="216" spans="8:43" x14ac:dyDescent="0.25">
      <c r="H216" s="1"/>
      <c r="I216" s="1"/>
      <c r="J216" s="1"/>
      <c r="K216" s="1"/>
      <c r="L216" s="1"/>
      <c r="M216" s="1"/>
      <c r="N216" s="1"/>
      <c r="O216" s="1"/>
      <c r="P216" s="1"/>
      <c r="Q216" s="1"/>
      <c r="R216" s="1"/>
      <c r="S216" s="1"/>
      <c r="T216" s="1"/>
      <c r="U216" s="1"/>
      <c r="V216" s="1"/>
      <c r="W216" s="1"/>
      <c r="X216" s="1"/>
      <c r="Y216" s="1"/>
      <c r="Z216" s="1"/>
      <c r="AA216" s="1"/>
      <c r="AB216" s="1"/>
      <c r="AC216" s="1"/>
      <c r="AD216" s="1"/>
      <c r="AQ216" s="1"/>
    </row>
    <row r="217" spans="8:43" x14ac:dyDescent="0.25">
      <c r="H217" s="1"/>
      <c r="I217" s="1"/>
      <c r="J217" s="1"/>
      <c r="K217" s="1"/>
      <c r="L217" s="1"/>
      <c r="M217" s="1"/>
      <c r="N217" s="1"/>
      <c r="O217" s="1"/>
      <c r="P217" s="1"/>
      <c r="Q217" s="1"/>
      <c r="R217" s="1"/>
      <c r="S217" s="1"/>
      <c r="T217" s="1"/>
      <c r="U217" s="1"/>
      <c r="V217" s="1"/>
      <c r="W217" s="1"/>
      <c r="X217" s="1"/>
      <c r="Y217" s="1"/>
      <c r="Z217" s="1"/>
      <c r="AA217" s="1"/>
      <c r="AB217" s="1"/>
      <c r="AC217" s="1"/>
      <c r="AD217" s="1"/>
      <c r="AQ217" s="1"/>
    </row>
    <row r="218" spans="8:43" x14ac:dyDescent="0.25">
      <c r="H218" s="1"/>
      <c r="I218" s="1"/>
      <c r="J218" s="1"/>
      <c r="K218" s="1"/>
      <c r="L218" s="1"/>
      <c r="M218" s="1"/>
      <c r="N218" s="1"/>
      <c r="O218" s="1"/>
      <c r="P218" s="1"/>
      <c r="Q218" s="1"/>
      <c r="R218" s="1"/>
      <c r="S218" s="1"/>
      <c r="T218" s="1"/>
      <c r="U218" s="1"/>
      <c r="V218" s="1"/>
      <c r="W218" s="1"/>
      <c r="X218" s="1"/>
      <c r="Y218" s="1"/>
      <c r="Z218" s="1"/>
      <c r="AA218" s="1"/>
      <c r="AB218" s="1"/>
      <c r="AC218" s="1"/>
      <c r="AD218" s="1"/>
      <c r="AQ218" s="1"/>
    </row>
    <row r="219" spans="8:43" x14ac:dyDescent="0.25">
      <c r="H219" s="1"/>
      <c r="I219" s="1"/>
      <c r="J219" s="1"/>
      <c r="K219" s="1"/>
      <c r="L219" s="1"/>
      <c r="M219" s="1"/>
      <c r="N219" s="1"/>
      <c r="O219" s="1"/>
      <c r="P219" s="1"/>
      <c r="Q219" s="1"/>
      <c r="R219" s="1"/>
      <c r="S219" s="1"/>
      <c r="T219" s="1"/>
      <c r="U219" s="1"/>
      <c r="V219" s="1"/>
      <c r="W219" s="1"/>
      <c r="X219" s="1"/>
      <c r="Y219" s="1"/>
      <c r="Z219" s="1"/>
      <c r="AA219" s="1"/>
      <c r="AB219" s="1"/>
      <c r="AC219" s="1"/>
      <c r="AD219" s="1"/>
      <c r="AQ219" s="1"/>
    </row>
    <row r="220" spans="8:43" x14ac:dyDescent="0.25">
      <c r="H220" s="1"/>
      <c r="I220" s="1"/>
      <c r="J220" s="1"/>
      <c r="K220" s="1"/>
      <c r="L220" s="1"/>
      <c r="M220" s="1"/>
      <c r="N220" s="1"/>
      <c r="O220" s="1"/>
      <c r="P220" s="1"/>
      <c r="Q220" s="1"/>
      <c r="R220" s="1"/>
      <c r="S220" s="1"/>
      <c r="T220" s="1"/>
      <c r="U220" s="1"/>
      <c r="V220" s="1"/>
      <c r="W220" s="1"/>
      <c r="X220" s="1"/>
      <c r="Y220" s="1"/>
      <c r="Z220" s="1"/>
      <c r="AA220" s="1"/>
      <c r="AB220" s="1"/>
      <c r="AC220" s="1"/>
      <c r="AD220" s="1"/>
      <c r="AQ220" s="1"/>
    </row>
    <row r="221" spans="8:43" x14ac:dyDescent="0.25">
      <c r="H221" s="1"/>
      <c r="I221" s="1"/>
      <c r="J221" s="1"/>
      <c r="K221" s="1"/>
      <c r="L221" s="1"/>
      <c r="M221" s="1"/>
      <c r="N221" s="1"/>
      <c r="O221" s="1"/>
      <c r="P221" s="1"/>
      <c r="Q221" s="1"/>
      <c r="R221" s="1"/>
      <c r="S221" s="1"/>
      <c r="T221" s="1"/>
      <c r="U221" s="1"/>
      <c r="V221" s="1"/>
      <c r="W221" s="1"/>
      <c r="X221" s="1"/>
      <c r="Y221" s="1"/>
      <c r="Z221" s="1"/>
      <c r="AA221" s="1"/>
      <c r="AB221" s="1"/>
      <c r="AC221" s="1"/>
      <c r="AD221" s="1"/>
      <c r="AQ221" s="1"/>
    </row>
    <row r="222" spans="8:43" x14ac:dyDescent="0.25">
      <c r="H222" s="1"/>
      <c r="I222" s="1"/>
      <c r="J222" s="1"/>
      <c r="K222" s="1"/>
      <c r="L222" s="1"/>
      <c r="M222" s="1"/>
      <c r="N222" s="1"/>
      <c r="O222" s="1"/>
      <c r="P222" s="1"/>
      <c r="Q222" s="1"/>
      <c r="R222" s="1"/>
      <c r="S222" s="1"/>
      <c r="T222" s="1"/>
      <c r="U222" s="1"/>
      <c r="V222" s="1"/>
      <c r="W222" s="1"/>
      <c r="X222" s="1"/>
      <c r="Y222" s="1"/>
      <c r="Z222" s="1"/>
      <c r="AA222" s="1"/>
      <c r="AB222" s="1"/>
      <c r="AC222" s="1"/>
      <c r="AD222" s="1"/>
      <c r="AQ222" s="1"/>
    </row>
    <row r="223" spans="8:43" x14ac:dyDescent="0.25">
      <c r="H223" s="1"/>
      <c r="I223" s="1"/>
      <c r="J223" s="1"/>
      <c r="K223" s="1"/>
      <c r="L223" s="1"/>
      <c r="M223" s="1"/>
      <c r="N223" s="1"/>
      <c r="O223" s="1"/>
      <c r="P223" s="1"/>
      <c r="Q223" s="1"/>
      <c r="R223" s="1"/>
      <c r="S223" s="1"/>
      <c r="T223" s="1"/>
      <c r="U223" s="1"/>
      <c r="V223" s="1"/>
      <c r="W223" s="1"/>
      <c r="X223" s="1"/>
      <c r="Y223" s="1"/>
      <c r="Z223" s="1"/>
      <c r="AA223" s="1"/>
      <c r="AB223" s="1"/>
      <c r="AC223" s="1"/>
      <c r="AD223" s="1"/>
      <c r="AQ223" s="1"/>
    </row>
    <row r="224" spans="8:43" x14ac:dyDescent="0.25">
      <c r="H224" s="1"/>
      <c r="I224" s="1"/>
      <c r="J224" s="1"/>
      <c r="K224" s="1"/>
      <c r="L224" s="1"/>
      <c r="M224" s="1"/>
      <c r="N224" s="1"/>
      <c r="O224" s="1"/>
      <c r="P224" s="1"/>
      <c r="Q224" s="1"/>
      <c r="R224" s="1"/>
      <c r="S224" s="1"/>
      <c r="T224" s="1"/>
      <c r="U224" s="1"/>
      <c r="V224" s="1"/>
      <c r="W224" s="1"/>
      <c r="X224" s="1"/>
      <c r="Y224" s="1"/>
      <c r="Z224" s="1"/>
      <c r="AA224" s="1"/>
      <c r="AB224" s="1"/>
      <c r="AC224" s="1"/>
      <c r="AD224" s="1"/>
      <c r="AQ224" s="1"/>
    </row>
    <row r="225" spans="8:43" x14ac:dyDescent="0.25">
      <c r="H225" s="1"/>
      <c r="I225" s="1"/>
      <c r="J225" s="1"/>
      <c r="K225" s="1"/>
      <c r="L225" s="1"/>
      <c r="M225" s="1"/>
      <c r="N225" s="1"/>
      <c r="O225" s="1"/>
      <c r="P225" s="1"/>
      <c r="Q225" s="1"/>
      <c r="R225" s="1"/>
      <c r="S225" s="1"/>
      <c r="T225" s="1"/>
      <c r="U225" s="1"/>
      <c r="V225" s="1"/>
      <c r="W225" s="1"/>
      <c r="X225" s="1"/>
      <c r="Y225" s="1"/>
      <c r="Z225" s="1"/>
      <c r="AA225" s="1"/>
      <c r="AB225" s="1"/>
      <c r="AC225" s="1"/>
      <c r="AD225" s="1"/>
      <c r="AQ225" s="1"/>
    </row>
    <row r="226" spans="8:43" x14ac:dyDescent="0.25">
      <c r="H226" s="1"/>
      <c r="I226" s="1"/>
      <c r="J226" s="1"/>
      <c r="K226" s="1"/>
      <c r="L226" s="1"/>
      <c r="M226" s="1"/>
      <c r="N226" s="1"/>
      <c r="O226" s="1"/>
      <c r="P226" s="1"/>
      <c r="Q226" s="1"/>
      <c r="R226" s="1"/>
      <c r="S226" s="1"/>
      <c r="T226" s="1"/>
      <c r="U226" s="1"/>
      <c r="V226" s="1"/>
      <c r="W226" s="1"/>
      <c r="X226" s="1"/>
      <c r="Y226" s="1"/>
      <c r="Z226" s="1"/>
      <c r="AA226" s="1"/>
      <c r="AB226" s="1"/>
      <c r="AC226" s="1"/>
      <c r="AD226" s="1"/>
      <c r="AQ226" s="1"/>
    </row>
    <row r="227" spans="8:43" x14ac:dyDescent="0.25">
      <c r="H227" s="1"/>
      <c r="I227" s="1"/>
      <c r="J227" s="1"/>
      <c r="K227" s="1"/>
      <c r="L227" s="1"/>
      <c r="M227" s="1"/>
      <c r="N227" s="1"/>
      <c r="O227" s="1"/>
      <c r="P227" s="1"/>
      <c r="Q227" s="1"/>
      <c r="R227" s="1"/>
      <c r="S227" s="1"/>
      <c r="T227" s="1"/>
      <c r="U227" s="1"/>
      <c r="V227" s="1"/>
      <c r="W227" s="1"/>
      <c r="X227" s="1"/>
      <c r="Y227" s="1"/>
      <c r="Z227" s="1"/>
      <c r="AA227" s="1"/>
      <c r="AB227" s="1"/>
      <c r="AC227" s="1"/>
      <c r="AD227" s="1"/>
      <c r="AQ227" s="1"/>
    </row>
    <row r="228" spans="8:43" x14ac:dyDescent="0.25">
      <c r="H228" s="1"/>
      <c r="I228" s="1"/>
      <c r="J228" s="1"/>
      <c r="K228" s="1"/>
      <c r="L228" s="1"/>
      <c r="M228" s="1"/>
      <c r="N228" s="1"/>
      <c r="O228" s="1"/>
      <c r="P228" s="1"/>
      <c r="Q228" s="1"/>
      <c r="R228" s="1"/>
      <c r="S228" s="1"/>
      <c r="T228" s="1"/>
      <c r="U228" s="1"/>
      <c r="V228" s="1"/>
      <c r="W228" s="1"/>
      <c r="X228" s="1"/>
      <c r="Y228" s="1"/>
      <c r="Z228" s="1"/>
      <c r="AA228" s="1"/>
      <c r="AB228" s="1"/>
      <c r="AC228" s="1"/>
      <c r="AD228" s="1"/>
      <c r="AQ228" s="1"/>
    </row>
    <row r="229" spans="8:43" x14ac:dyDescent="0.25">
      <c r="H229" s="1"/>
      <c r="I229" s="1"/>
      <c r="J229" s="1"/>
      <c r="K229" s="1"/>
      <c r="L229" s="1"/>
      <c r="M229" s="1"/>
      <c r="N229" s="1"/>
      <c r="O229" s="1"/>
      <c r="P229" s="1"/>
      <c r="Q229" s="1"/>
      <c r="R229" s="1"/>
      <c r="S229" s="1"/>
      <c r="T229" s="1"/>
      <c r="U229" s="1"/>
      <c r="V229" s="1"/>
      <c r="W229" s="1"/>
      <c r="X229" s="1"/>
      <c r="Y229" s="1"/>
      <c r="Z229" s="1"/>
      <c r="AA229" s="1"/>
      <c r="AB229" s="1"/>
      <c r="AC229" s="1"/>
      <c r="AD229" s="1"/>
      <c r="AQ229" s="1"/>
    </row>
    <row r="230" spans="8:43" x14ac:dyDescent="0.25">
      <c r="H230" s="1"/>
      <c r="I230" s="1"/>
      <c r="J230" s="1"/>
      <c r="K230" s="1"/>
      <c r="L230" s="1"/>
      <c r="M230" s="1"/>
      <c r="N230" s="1"/>
      <c r="O230" s="1"/>
      <c r="P230" s="1"/>
      <c r="Q230" s="1"/>
      <c r="R230" s="1"/>
      <c r="S230" s="1"/>
      <c r="T230" s="1"/>
      <c r="U230" s="1"/>
      <c r="V230" s="1"/>
      <c r="W230" s="1"/>
      <c r="X230" s="1"/>
      <c r="Y230" s="1"/>
      <c r="Z230" s="1"/>
      <c r="AA230" s="1"/>
      <c r="AB230" s="1"/>
      <c r="AC230" s="1"/>
      <c r="AD230" s="1"/>
      <c r="AQ230" s="1"/>
    </row>
    <row r="231" spans="8:43" x14ac:dyDescent="0.25">
      <c r="H231" s="1"/>
      <c r="I231" s="1"/>
      <c r="J231" s="1"/>
      <c r="K231" s="1"/>
      <c r="L231" s="1"/>
      <c r="M231" s="1"/>
      <c r="N231" s="1"/>
      <c r="O231" s="1"/>
      <c r="P231" s="1"/>
      <c r="Q231" s="1"/>
      <c r="R231" s="1"/>
      <c r="S231" s="1"/>
      <c r="T231" s="1"/>
      <c r="U231" s="1"/>
      <c r="V231" s="1"/>
      <c r="W231" s="1"/>
      <c r="X231" s="1"/>
      <c r="Y231" s="1"/>
      <c r="Z231" s="1"/>
      <c r="AA231" s="1"/>
      <c r="AB231" s="1"/>
      <c r="AC231" s="1"/>
      <c r="AD231" s="1"/>
      <c r="AQ231" s="1"/>
    </row>
    <row r="232" spans="8:43" x14ac:dyDescent="0.25">
      <c r="H232" s="1"/>
      <c r="I232" s="1"/>
      <c r="J232" s="1"/>
      <c r="K232" s="1"/>
      <c r="L232" s="1"/>
      <c r="M232" s="1"/>
      <c r="N232" s="1"/>
      <c r="O232" s="1"/>
      <c r="P232" s="1"/>
      <c r="Q232" s="1"/>
      <c r="R232" s="1"/>
      <c r="S232" s="1"/>
      <c r="T232" s="1"/>
      <c r="U232" s="1"/>
      <c r="V232" s="1"/>
      <c r="W232" s="1"/>
      <c r="X232" s="1"/>
      <c r="Y232" s="1"/>
      <c r="Z232" s="1"/>
      <c r="AA232" s="1"/>
      <c r="AB232" s="1"/>
      <c r="AC232" s="1"/>
      <c r="AD232" s="1"/>
      <c r="AQ232" s="1"/>
    </row>
    <row r="233" spans="8:43" x14ac:dyDescent="0.25">
      <c r="H233" s="1"/>
      <c r="I233" s="1"/>
      <c r="J233" s="1"/>
      <c r="K233" s="1"/>
      <c r="L233" s="1"/>
      <c r="M233" s="1"/>
      <c r="N233" s="1"/>
      <c r="O233" s="1"/>
      <c r="P233" s="1"/>
      <c r="Q233" s="1"/>
      <c r="R233" s="1"/>
      <c r="S233" s="1"/>
      <c r="T233" s="1"/>
      <c r="U233" s="1"/>
      <c r="V233" s="1"/>
      <c r="W233" s="1"/>
      <c r="X233" s="1"/>
      <c r="Y233" s="1"/>
      <c r="Z233" s="1"/>
      <c r="AA233" s="1"/>
      <c r="AB233" s="1"/>
      <c r="AC233" s="1"/>
      <c r="AD233" s="1"/>
      <c r="AQ233" s="1"/>
    </row>
    <row r="234" spans="8:43" x14ac:dyDescent="0.25">
      <c r="H234" s="1"/>
      <c r="I234" s="1"/>
      <c r="J234" s="1"/>
      <c r="K234" s="1"/>
      <c r="L234" s="1"/>
      <c r="M234" s="1"/>
      <c r="N234" s="1"/>
      <c r="O234" s="1"/>
      <c r="P234" s="1"/>
      <c r="Q234" s="1"/>
      <c r="R234" s="1"/>
      <c r="S234" s="1"/>
      <c r="T234" s="1"/>
      <c r="U234" s="1"/>
      <c r="V234" s="1"/>
      <c r="W234" s="1"/>
      <c r="X234" s="1"/>
      <c r="Y234" s="1"/>
      <c r="Z234" s="1"/>
      <c r="AA234" s="1"/>
      <c r="AB234" s="1"/>
      <c r="AC234" s="1"/>
      <c r="AD234" s="1"/>
      <c r="AQ234" s="1"/>
    </row>
    <row r="235" spans="8:43" x14ac:dyDescent="0.25">
      <c r="H235" s="1"/>
      <c r="I235" s="1"/>
      <c r="J235" s="1"/>
      <c r="K235" s="1"/>
      <c r="L235" s="1"/>
      <c r="M235" s="1"/>
      <c r="N235" s="1"/>
      <c r="O235" s="1"/>
      <c r="P235" s="1"/>
      <c r="Q235" s="1"/>
      <c r="R235" s="1"/>
      <c r="S235" s="1"/>
      <c r="T235" s="1"/>
      <c r="U235" s="1"/>
      <c r="V235" s="1"/>
      <c r="W235" s="1"/>
      <c r="X235" s="1"/>
      <c r="Y235" s="1"/>
      <c r="Z235" s="1"/>
      <c r="AA235" s="1"/>
      <c r="AB235" s="1"/>
      <c r="AC235" s="1"/>
      <c r="AD235" s="1"/>
      <c r="AQ235" s="1"/>
    </row>
    <row r="236" spans="8:43" x14ac:dyDescent="0.25">
      <c r="H236" s="1"/>
      <c r="I236" s="1"/>
      <c r="J236" s="1"/>
      <c r="K236" s="1"/>
      <c r="L236" s="1"/>
      <c r="M236" s="1"/>
      <c r="N236" s="1"/>
      <c r="O236" s="1"/>
      <c r="P236" s="1"/>
      <c r="Q236" s="1"/>
      <c r="R236" s="1"/>
      <c r="S236" s="1"/>
      <c r="T236" s="1"/>
      <c r="U236" s="1"/>
      <c r="V236" s="1"/>
      <c r="W236" s="1"/>
      <c r="X236" s="1"/>
      <c r="Y236" s="1"/>
      <c r="Z236" s="1"/>
      <c r="AA236" s="1"/>
      <c r="AB236" s="1"/>
      <c r="AC236" s="1"/>
      <c r="AD236" s="1"/>
      <c r="AQ236" s="1"/>
    </row>
    <row r="237" spans="8:43" x14ac:dyDescent="0.25">
      <c r="H237" s="1"/>
      <c r="I237" s="1"/>
      <c r="J237" s="1"/>
      <c r="K237" s="1"/>
      <c r="L237" s="1"/>
      <c r="M237" s="1"/>
      <c r="N237" s="1"/>
      <c r="O237" s="1"/>
      <c r="P237" s="1"/>
      <c r="Q237" s="1"/>
      <c r="R237" s="1"/>
      <c r="S237" s="1"/>
      <c r="T237" s="1"/>
      <c r="U237" s="1"/>
      <c r="V237" s="1"/>
      <c r="W237" s="1"/>
      <c r="X237" s="1"/>
      <c r="Y237" s="1"/>
      <c r="Z237" s="1"/>
      <c r="AA237" s="1"/>
      <c r="AB237" s="1"/>
      <c r="AC237" s="1"/>
      <c r="AD237" s="1"/>
      <c r="AQ237" s="1"/>
    </row>
    <row r="238" spans="8:43" x14ac:dyDescent="0.25">
      <c r="H238" s="1"/>
      <c r="I238" s="1"/>
      <c r="J238" s="1"/>
      <c r="K238" s="1"/>
      <c r="L238" s="1"/>
      <c r="M238" s="1"/>
      <c r="N238" s="1"/>
      <c r="O238" s="1"/>
      <c r="P238" s="1"/>
      <c r="Q238" s="1"/>
      <c r="R238" s="1"/>
      <c r="S238" s="1"/>
      <c r="T238" s="1"/>
      <c r="U238" s="1"/>
      <c r="V238" s="1"/>
      <c r="W238" s="1"/>
      <c r="X238" s="1"/>
      <c r="Y238" s="1"/>
      <c r="Z238" s="1"/>
      <c r="AA238" s="1"/>
      <c r="AB238" s="1"/>
      <c r="AC238" s="1"/>
      <c r="AD238" s="1"/>
      <c r="AQ238" s="1"/>
    </row>
    <row r="239" spans="8:43" x14ac:dyDescent="0.25">
      <c r="H239" s="1"/>
      <c r="I239" s="1"/>
      <c r="J239" s="1"/>
      <c r="K239" s="1"/>
      <c r="L239" s="1"/>
      <c r="M239" s="1"/>
      <c r="N239" s="1"/>
      <c r="O239" s="1"/>
      <c r="P239" s="1"/>
      <c r="Q239" s="1"/>
      <c r="R239" s="1"/>
      <c r="S239" s="1"/>
      <c r="T239" s="1"/>
      <c r="U239" s="1"/>
      <c r="V239" s="1"/>
      <c r="W239" s="1"/>
      <c r="X239" s="1"/>
      <c r="Y239" s="1"/>
      <c r="Z239" s="1"/>
      <c r="AA239" s="1"/>
      <c r="AB239" s="1"/>
      <c r="AC239" s="1"/>
      <c r="AD239" s="1"/>
      <c r="AQ239" s="1"/>
    </row>
    <row r="240" spans="8:43" x14ac:dyDescent="0.25">
      <c r="H240" s="1"/>
      <c r="I240" s="1"/>
      <c r="J240" s="1"/>
      <c r="K240" s="1"/>
      <c r="L240" s="1"/>
      <c r="M240" s="1"/>
      <c r="N240" s="1"/>
      <c r="O240" s="1"/>
      <c r="P240" s="1"/>
      <c r="Q240" s="1"/>
      <c r="R240" s="1"/>
      <c r="S240" s="1"/>
      <c r="T240" s="1"/>
      <c r="U240" s="1"/>
      <c r="V240" s="1"/>
      <c r="W240" s="1"/>
      <c r="X240" s="1"/>
      <c r="Y240" s="1"/>
      <c r="Z240" s="1"/>
      <c r="AA240" s="1"/>
      <c r="AB240" s="1"/>
      <c r="AC240" s="1"/>
      <c r="AD240" s="1"/>
      <c r="AQ240" s="1"/>
    </row>
    <row r="241" spans="8:43" x14ac:dyDescent="0.25">
      <c r="H241" s="1"/>
      <c r="I241" s="1"/>
      <c r="J241" s="1"/>
      <c r="K241" s="1"/>
      <c r="L241" s="1"/>
      <c r="M241" s="1"/>
      <c r="N241" s="1"/>
      <c r="O241" s="1"/>
      <c r="P241" s="1"/>
      <c r="Q241" s="1"/>
      <c r="R241" s="1"/>
      <c r="S241" s="1"/>
      <c r="T241" s="1"/>
      <c r="U241" s="1"/>
      <c r="V241" s="1"/>
      <c r="W241" s="1"/>
      <c r="X241" s="1"/>
      <c r="Y241" s="1"/>
      <c r="Z241" s="1"/>
      <c r="AA241" s="1"/>
      <c r="AB241" s="1"/>
      <c r="AC241" s="1"/>
      <c r="AD241" s="1"/>
      <c r="AQ241" s="1"/>
    </row>
    <row r="242" spans="8:43" x14ac:dyDescent="0.25">
      <c r="H242" s="1"/>
      <c r="I242" s="1"/>
      <c r="J242" s="1"/>
      <c r="K242" s="1"/>
      <c r="L242" s="1"/>
      <c r="M242" s="1"/>
      <c r="N242" s="1"/>
      <c r="O242" s="1"/>
      <c r="P242" s="1"/>
      <c r="Q242" s="1"/>
      <c r="R242" s="1"/>
      <c r="S242" s="1"/>
      <c r="T242" s="1"/>
      <c r="U242" s="1"/>
      <c r="V242" s="1"/>
      <c r="W242" s="1"/>
      <c r="X242" s="1"/>
      <c r="Y242" s="1"/>
      <c r="Z242" s="1"/>
      <c r="AA242" s="1"/>
      <c r="AB242" s="1"/>
      <c r="AC242" s="1"/>
      <c r="AD242" s="1"/>
      <c r="AQ242" s="1"/>
    </row>
    <row r="243" spans="8:43" x14ac:dyDescent="0.25">
      <c r="H243" s="1"/>
      <c r="I243" s="1"/>
      <c r="J243" s="1"/>
      <c r="K243" s="1"/>
      <c r="L243" s="1"/>
      <c r="M243" s="1"/>
      <c r="N243" s="1"/>
      <c r="O243" s="1"/>
      <c r="P243" s="1"/>
      <c r="Q243" s="1"/>
      <c r="R243" s="1"/>
      <c r="S243" s="1"/>
      <c r="T243" s="1"/>
      <c r="U243" s="1"/>
      <c r="V243" s="1"/>
      <c r="W243" s="1"/>
      <c r="X243" s="1"/>
      <c r="Y243" s="1"/>
      <c r="Z243" s="1"/>
      <c r="AA243" s="1"/>
      <c r="AB243" s="1"/>
      <c r="AC243" s="1"/>
      <c r="AD243" s="1"/>
      <c r="AQ243" s="1"/>
    </row>
    <row r="244" spans="8:43" x14ac:dyDescent="0.25">
      <c r="H244" s="1"/>
      <c r="I244" s="1"/>
      <c r="J244" s="1"/>
      <c r="K244" s="1"/>
      <c r="L244" s="1"/>
      <c r="M244" s="1"/>
      <c r="N244" s="1"/>
      <c r="O244" s="1"/>
      <c r="P244" s="1"/>
      <c r="Q244" s="1"/>
      <c r="R244" s="1"/>
      <c r="S244" s="1"/>
      <c r="T244" s="1"/>
      <c r="U244" s="1"/>
      <c r="V244" s="1"/>
      <c r="W244" s="1"/>
      <c r="X244" s="1"/>
      <c r="Y244" s="1"/>
      <c r="Z244" s="1"/>
      <c r="AA244" s="1"/>
      <c r="AB244" s="1"/>
      <c r="AC244" s="1"/>
      <c r="AD244" s="1"/>
      <c r="AQ244" s="1"/>
    </row>
    <row r="245" spans="8:43" x14ac:dyDescent="0.25">
      <c r="H245" s="1"/>
      <c r="I245" s="1"/>
      <c r="J245" s="1"/>
      <c r="K245" s="1"/>
      <c r="L245" s="1"/>
      <c r="M245" s="1"/>
      <c r="N245" s="1"/>
      <c r="O245" s="1"/>
      <c r="P245" s="1"/>
      <c r="Q245" s="1"/>
      <c r="R245" s="1"/>
      <c r="S245" s="1"/>
      <c r="T245" s="1"/>
      <c r="U245" s="1"/>
      <c r="V245" s="1"/>
      <c r="W245" s="1"/>
      <c r="X245" s="1"/>
      <c r="Y245" s="1"/>
      <c r="Z245" s="1"/>
      <c r="AA245" s="1"/>
      <c r="AB245" s="1"/>
      <c r="AC245" s="1"/>
      <c r="AD245" s="1"/>
      <c r="AQ245" s="1"/>
    </row>
    <row r="246" spans="8:43" x14ac:dyDescent="0.25">
      <c r="H246" s="1"/>
      <c r="I246" s="1"/>
      <c r="J246" s="1"/>
      <c r="K246" s="1"/>
      <c r="L246" s="1"/>
      <c r="M246" s="1"/>
      <c r="N246" s="1"/>
      <c r="O246" s="1"/>
      <c r="P246" s="1"/>
      <c r="Q246" s="1"/>
      <c r="R246" s="1"/>
      <c r="S246" s="1"/>
      <c r="T246" s="1"/>
      <c r="U246" s="1"/>
      <c r="V246" s="1"/>
      <c r="W246" s="1"/>
      <c r="X246" s="1"/>
      <c r="Y246" s="1"/>
      <c r="Z246" s="1"/>
      <c r="AA246" s="1"/>
      <c r="AB246" s="1"/>
      <c r="AC246" s="1"/>
      <c r="AD246" s="1"/>
      <c r="AQ246" s="1"/>
    </row>
    <row r="247" spans="8:43" x14ac:dyDescent="0.25">
      <c r="H247" s="1"/>
      <c r="I247" s="1"/>
      <c r="J247" s="1"/>
      <c r="K247" s="1"/>
      <c r="L247" s="1"/>
      <c r="M247" s="1"/>
      <c r="N247" s="1"/>
      <c r="O247" s="1"/>
      <c r="P247" s="1"/>
      <c r="Q247" s="1"/>
      <c r="R247" s="1"/>
      <c r="S247" s="1"/>
      <c r="T247" s="1"/>
      <c r="U247" s="1"/>
      <c r="V247" s="1"/>
      <c r="W247" s="1"/>
      <c r="X247" s="1"/>
      <c r="Y247" s="1"/>
      <c r="Z247" s="1"/>
      <c r="AA247" s="1"/>
      <c r="AB247" s="1"/>
      <c r="AC247" s="1"/>
      <c r="AD247" s="1"/>
      <c r="AQ247" s="1"/>
    </row>
    <row r="248" spans="8:43" x14ac:dyDescent="0.25">
      <c r="H248" s="1"/>
      <c r="I248" s="1"/>
      <c r="J248" s="1"/>
      <c r="K248" s="1"/>
      <c r="L248" s="1"/>
      <c r="M248" s="1"/>
      <c r="N248" s="1"/>
      <c r="O248" s="1"/>
      <c r="P248" s="1"/>
      <c r="Q248" s="1"/>
      <c r="R248" s="1"/>
      <c r="S248" s="1"/>
      <c r="T248" s="1"/>
      <c r="U248" s="1"/>
      <c r="V248" s="1"/>
      <c r="W248" s="1"/>
      <c r="X248" s="1"/>
      <c r="Y248" s="1"/>
      <c r="Z248" s="1"/>
      <c r="AA248" s="1"/>
      <c r="AB248" s="1"/>
      <c r="AC248" s="1"/>
      <c r="AD248" s="1"/>
      <c r="AQ248" s="1"/>
    </row>
    <row r="249" spans="8:43" x14ac:dyDescent="0.25">
      <c r="H249" s="1"/>
      <c r="I249" s="1"/>
      <c r="J249" s="1"/>
      <c r="K249" s="1"/>
      <c r="L249" s="1"/>
      <c r="M249" s="1"/>
      <c r="N249" s="1"/>
      <c r="O249" s="1"/>
      <c r="P249" s="1"/>
      <c r="Q249" s="1"/>
      <c r="R249" s="1"/>
      <c r="S249" s="1"/>
      <c r="T249" s="1"/>
      <c r="U249" s="1"/>
      <c r="V249" s="1"/>
      <c r="W249" s="1"/>
      <c r="X249" s="1"/>
      <c r="Y249" s="1"/>
      <c r="Z249" s="1"/>
      <c r="AA249" s="1"/>
      <c r="AB249" s="1"/>
      <c r="AC249" s="1"/>
      <c r="AD249" s="1"/>
      <c r="AQ249" s="1"/>
    </row>
    <row r="250" spans="8:43" x14ac:dyDescent="0.25">
      <c r="H250" s="1"/>
      <c r="I250" s="1"/>
      <c r="J250" s="1"/>
      <c r="K250" s="1"/>
      <c r="L250" s="1"/>
      <c r="M250" s="1"/>
      <c r="N250" s="1"/>
      <c r="O250" s="1"/>
      <c r="P250" s="1"/>
      <c r="Q250" s="1"/>
      <c r="R250" s="1"/>
      <c r="S250" s="1"/>
      <c r="T250" s="1"/>
      <c r="U250" s="1"/>
      <c r="V250" s="1"/>
      <c r="W250" s="1"/>
      <c r="X250" s="1"/>
      <c r="Y250" s="1"/>
      <c r="Z250" s="1"/>
      <c r="AA250" s="1"/>
      <c r="AB250" s="1"/>
      <c r="AC250" s="1"/>
      <c r="AD250" s="1"/>
      <c r="AQ250" s="1"/>
    </row>
    <row r="251" spans="8:43" x14ac:dyDescent="0.25">
      <c r="H251" s="1"/>
      <c r="I251" s="1"/>
      <c r="J251" s="1"/>
      <c r="K251" s="1"/>
      <c r="L251" s="1"/>
      <c r="M251" s="1"/>
      <c r="N251" s="1"/>
      <c r="O251" s="1"/>
      <c r="P251" s="1"/>
      <c r="Q251" s="1"/>
      <c r="R251" s="1"/>
      <c r="S251" s="1"/>
      <c r="T251" s="1"/>
      <c r="U251" s="1"/>
      <c r="V251" s="1"/>
      <c r="W251" s="1"/>
      <c r="X251" s="1"/>
      <c r="Y251" s="1"/>
      <c r="Z251" s="1"/>
      <c r="AA251" s="1"/>
      <c r="AB251" s="1"/>
      <c r="AC251" s="1"/>
      <c r="AD251" s="1"/>
      <c r="AQ251" s="1"/>
    </row>
    <row r="252" spans="8:43" x14ac:dyDescent="0.25">
      <c r="H252" s="1"/>
      <c r="I252" s="1"/>
      <c r="J252" s="1"/>
      <c r="K252" s="1"/>
      <c r="L252" s="1"/>
      <c r="M252" s="1"/>
      <c r="N252" s="1"/>
      <c r="O252" s="1"/>
      <c r="P252" s="1"/>
      <c r="Q252" s="1"/>
      <c r="R252" s="1"/>
      <c r="S252" s="1"/>
      <c r="T252" s="1"/>
      <c r="U252" s="1"/>
      <c r="V252" s="1"/>
      <c r="W252" s="1"/>
      <c r="X252" s="1"/>
      <c r="Y252" s="1"/>
      <c r="Z252" s="1"/>
      <c r="AA252" s="1"/>
      <c r="AB252" s="1"/>
      <c r="AC252" s="1"/>
      <c r="AD252" s="1"/>
      <c r="AQ252" s="1"/>
    </row>
    <row r="253" spans="8:43" x14ac:dyDescent="0.25">
      <c r="H253" s="1"/>
      <c r="I253" s="1"/>
      <c r="J253" s="1"/>
      <c r="K253" s="1"/>
      <c r="L253" s="1"/>
      <c r="M253" s="1"/>
      <c r="N253" s="1"/>
      <c r="O253" s="1"/>
      <c r="P253" s="1"/>
      <c r="Q253" s="1"/>
      <c r="R253" s="1"/>
      <c r="S253" s="1"/>
      <c r="T253" s="1"/>
      <c r="U253" s="1"/>
      <c r="V253" s="1"/>
      <c r="W253" s="1"/>
      <c r="X253" s="1"/>
      <c r="Y253" s="1"/>
      <c r="Z253" s="1"/>
      <c r="AA253" s="1"/>
      <c r="AB253" s="1"/>
      <c r="AC253" s="1"/>
      <c r="AD253" s="1"/>
      <c r="AQ253" s="1"/>
    </row>
    <row r="254" spans="8:43" x14ac:dyDescent="0.25">
      <c r="H254" s="1"/>
      <c r="I254" s="1"/>
      <c r="J254" s="1"/>
      <c r="K254" s="1"/>
      <c r="L254" s="1"/>
      <c r="M254" s="1"/>
      <c r="N254" s="1"/>
      <c r="O254" s="1"/>
      <c r="P254" s="1"/>
      <c r="Q254" s="1"/>
      <c r="R254" s="1"/>
      <c r="S254" s="1"/>
      <c r="T254" s="1"/>
      <c r="U254" s="1"/>
      <c r="V254" s="1"/>
      <c r="W254" s="1"/>
      <c r="X254" s="1"/>
      <c r="Y254" s="1"/>
      <c r="Z254" s="1"/>
      <c r="AA254" s="1"/>
      <c r="AB254" s="1"/>
      <c r="AC254" s="1"/>
      <c r="AD254" s="1"/>
      <c r="AQ254" s="1"/>
    </row>
    <row r="255" spans="8:43" x14ac:dyDescent="0.25">
      <c r="H255" s="1"/>
      <c r="I255" s="1"/>
      <c r="J255" s="1"/>
      <c r="K255" s="1"/>
      <c r="L255" s="1"/>
      <c r="M255" s="1"/>
      <c r="N255" s="1"/>
      <c r="O255" s="1"/>
      <c r="P255" s="1"/>
      <c r="Q255" s="1"/>
      <c r="R255" s="1"/>
      <c r="S255" s="1"/>
      <c r="T255" s="1"/>
      <c r="U255" s="1"/>
      <c r="V255" s="1"/>
      <c r="W255" s="1"/>
      <c r="X255" s="1"/>
      <c r="Y255" s="1"/>
      <c r="Z255" s="1"/>
      <c r="AA255" s="1"/>
      <c r="AB255" s="1"/>
      <c r="AC255" s="1"/>
      <c r="AD255" s="1"/>
      <c r="AQ255" s="1"/>
    </row>
    <row r="256" spans="8:43" x14ac:dyDescent="0.25">
      <c r="H256" s="1"/>
      <c r="I256" s="1"/>
      <c r="J256" s="1"/>
      <c r="K256" s="1"/>
      <c r="L256" s="1"/>
      <c r="M256" s="1"/>
      <c r="N256" s="1"/>
      <c r="O256" s="1"/>
      <c r="P256" s="1"/>
      <c r="Q256" s="1"/>
      <c r="R256" s="1"/>
      <c r="S256" s="1"/>
      <c r="T256" s="1"/>
      <c r="U256" s="1"/>
      <c r="V256" s="1"/>
      <c r="W256" s="1"/>
      <c r="X256" s="1"/>
      <c r="Y256" s="1"/>
      <c r="Z256" s="1"/>
      <c r="AA256" s="1"/>
      <c r="AB256" s="1"/>
      <c r="AC256" s="1"/>
      <c r="AD256" s="1"/>
      <c r="AQ256" s="1"/>
    </row>
    <row r="257" spans="8:43" x14ac:dyDescent="0.25">
      <c r="H257" s="1"/>
      <c r="I257" s="1"/>
      <c r="J257" s="1"/>
      <c r="K257" s="1"/>
      <c r="L257" s="1"/>
      <c r="M257" s="1"/>
      <c r="N257" s="1"/>
      <c r="O257" s="1"/>
      <c r="P257" s="1"/>
      <c r="Q257" s="1"/>
      <c r="R257" s="1"/>
      <c r="S257" s="1"/>
      <c r="T257" s="1"/>
      <c r="U257" s="1"/>
      <c r="V257" s="1"/>
      <c r="W257" s="1"/>
      <c r="X257" s="1"/>
      <c r="Y257" s="1"/>
      <c r="Z257" s="1"/>
      <c r="AA257" s="1"/>
      <c r="AB257" s="1"/>
      <c r="AC257" s="1"/>
      <c r="AD257" s="1"/>
      <c r="AQ257" s="1"/>
    </row>
    <row r="258" spans="8:43" x14ac:dyDescent="0.25">
      <c r="H258" s="1"/>
      <c r="I258" s="1"/>
      <c r="J258" s="1"/>
      <c r="K258" s="1"/>
      <c r="L258" s="1"/>
      <c r="M258" s="1"/>
      <c r="N258" s="1"/>
      <c r="O258" s="1"/>
      <c r="P258" s="1"/>
      <c r="Q258" s="1"/>
      <c r="R258" s="1"/>
      <c r="S258" s="1"/>
      <c r="T258" s="1"/>
      <c r="U258" s="1"/>
      <c r="V258" s="1"/>
      <c r="W258" s="1"/>
      <c r="X258" s="1"/>
      <c r="Y258" s="1"/>
      <c r="Z258" s="1"/>
      <c r="AA258" s="1"/>
      <c r="AB258" s="1"/>
      <c r="AC258" s="1"/>
      <c r="AD258" s="1"/>
      <c r="AQ258" s="1"/>
    </row>
    <row r="259" spans="8:43" x14ac:dyDescent="0.25">
      <c r="H259" s="1"/>
      <c r="I259" s="1"/>
      <c r="J259" s="1"/>
      <c r="K259" s="1"/>
      <c r="L259" s="1"/>
      <c r="M259" s="1"/>
      <c r="N259" s="1"/>
      <c r="O259" s="1"/>
      <c r="P259" s="1"/>
      <c r="Q259" s="1"/>
      <c r="R259" s="1"/>
      <c r="S259" s="1"/>
      <c r="T259" s="1"/>
      <c r="U259" s="1"/>
      <c r="V259" s="1"/>
      <c r="W259" s="1"/>
      <c r="X259" s="1"/>
      <c r="Y259" s="1"/>
      <c r="Z259" s="1"/>
      <c r="AA259" s="1"/>
      <c r="AB259" s="1"/>
      <c r="AC259" s="1"/>
      <c r="AD259" s="1"/>
      <c r="AQ259" s="1"/>
    </row>
    <row r="260" spans="8:43" x14ac:dyDescent="0.25">
      <c r="H260" s="1"/>
      <c r="I260" s="1"/>
      <c r="J260" s="1"/>
      <c r="K260" s="1"/>
      <c r="L260" s="1"/>
      <c r="M260" s="1"/>
      <c r="N260" s="1"/>
      <c r="O260" s="1"/>
      <c r="P260" s="1"/>
      <c r="Q260" s="1"/>
      <c r="R260" s="1"/>
      <c r="S260" s="1"/>
      <c r="T260" s="1"/>
      <c r="U260" s="1"/>
      <c r="V260" s="1"/>
      <c r="W260" s="1"/>
      <c r="X260" s="1"/>
      <c r="Y260" s="1"/>
      <c r="Z260" s="1"/>
      <c r="AA260" s="1"/>
      <c r="AB260" s="1"/>
      <c r="AC260" s="1"/>
      <c r="AD260" s="1"/>
      <c r="AQ260" s="1"/>
    </row>
    <row r="261" spans="8:43" x14ac:dyDescent="0.25">
      <c r="H261" s="1"/>
      <c r="I261" s="1"/>
      <c r="J261" s="1"/>
      <c r="K261" s="1"/>
      <c r="L261" s="1"/>
      <c r="M261" s="1"/>
      <c r="N261" s="1"/>
      <c r="O261" s="1"/>
      <c r="P261" s="1"/>
      <c r="Q261" s="1"/>
      <c r="R261" s="1"/>
      <c r="S261" s="1"/>
      <c r="T261" s="1"/>
      <c r="U261" s="1"/>
      <c r="V261" s="1"/>
      <c r="W261" s="1"/>
      <c r="X261" s="1"/>
      <c r="Y261" s="1"/>
      <c r="Z261" s="1"/>
      <c r="AA261" s="1"/>
      <c r="AB261" s="1"/>
      <c r="AC261" s="1"/>
      <c r="AD261" s="1"/>
      <c r="AQ261" s="1"/>
    </row>
    <row r="262" spans="8:43" x14ac:dyDescent="0.25">
      <c r="H262" s="1"/>
      <c r="I262" s="1"/>
      <c r="J262" s="1"/>
      <c r="K262" s="1"/>
      <c r="L262" s="1"/>
      <c r="M262" s="1"/>
      <c r="N262" s="1"/>
      <c r="O262" s="1"/>
      <c r="P262" s="1"/>
      <c r="Q262" s="1"/>
      <c r="R262" s="1"/>
      <c r="S262" s="1"/>
      <c r="T262" s="1"/>
      <c r="U262" s="1"/>
      <c r="V262" s="1"/>
      <c r="W262" s="1"/>
      <c r="X262" s="1"/>
      <c r="Y262" s="1"/>
      <c r="Z262" s="1"/>
      <c r="AA262" s="1"/>
      <c r="AB262" s="1"/>
      <c r="AC262" s="1"/>
      <c r="AD262" s="1"/>
      <c r="AQ262" s="1"/>
    </row>
    <row r="263" spans="8:43" x14ac:dyDescent="0.25">
      <c r="H263" s="1"/>
      <c r="I263" s="1"/>
      <c r="J263" s="1"/>
      <c r="K263" s="1"/>
      <c r="L263" s="1"/>
      <c r="M263" s="1"/>
      <c r="N263" s="1"/>
      <c r="O263" s="1"/>
      <c r="P263" s="1"/>
      <c r="Q263" s="1"/>
      <c r="R263" s="1"/>
      <c r="S263" s="1"/>
      <c r="T263" s="1"/>
      <c r="U263" s="1"/>
      <c r="V263" s="1"/>
      <c r="W263" s="1"/>
      <c r="X263" s="1"/>
      <c r="Y263" s="1"/>
      <c r="Z263" s="1"/>
      <c r="AA263" s="1"/>
      <c r="AB263" s="1"/>
      <c r="AC263" s="1"/>
      <c r="AD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6">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G118"/>
    <mergeCell ref="AG117:AG118"/>
    <mergeCell ref="AJ117:AJ118"/>
    <mergeCell ref="A119:G119"/>
    <mergeCell ref="AE119:AJ120"/>
    <mergeCell ref="A120:G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G127"/>
    <mergeCell ref="AE127:AJ127"/>
    <mergeCell ref="A128:G129"/>
    <mergeCell ref="AE128:AJ129"/>
    <mergeCell ref="AK128:AK129"/>
    <mergeCell ref="AL128:AL129"/>
    <mergeCell ref="AM128:AM129"/>
    <mergeCell ref="A130:G131"/>
    <mergeCell ref="AE130:AJ131"/>
    <mergeCell ref="AK130:AK131"/>
    <mergeCell ref="AL130:AL131"/>
    <mergeCell ref="AM130:AM131"/>
    <mergeCell ref="AE132:AJ133"/>
    <mergeCell ref="B133:G133"/>
    <mergeCell ref="AK132:AK133"/>
    <mergeCell ref="AL132:AL133"/>
    <mergeCell ref="AM132:AM133"/>
    <mergeCell ref="AE134:AJ135"/>
    <mergeCell ref="AK134:AK135"/>
    <mergeCell ref="AL134:AL135"/>
    <mergeCell ref="AM134:AM135"/>
    <mergeCell ref="B136:G137"/>
    <mergeCell ref="AE136:AJ137"/>
    <mergeCell ref="AK136:AK137"/>
    <mergeCell ref="AL136:AL137"/>
    <mergeCell ref="AM136:AM137"/>
    <mergeCell ref="AE140:AM141"/>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AT263"/>
  <sheetViews>
    <sheetView workbookViewId="0" showGridLines="0" zoomScale="70" zoomScaleNormal="70">
      <selection activeCell="AQ24" sqref="AQ24"/>
    </sheetView>
  </sheetViews>
  <sheetFormatPr defaultRowHeight="14" outlineLevelRow="0" outlineLevelCol="0" x14ac:dyDescent="0" defaultColWidth="10.36328125" customHeight="1"/>
  <cols>
    <col min="1" max="1" width="4.08984375" style="1" customWidth="1"/>
    <col min="2" max="2" width="51.54296875" style="1" customWidth="1"/>
    <col min="3" max="6" width="5.81640625" style="1" hidden="1" customWidth="1"/>
    <col min="7" max="31" width="4.6328125" style="1" customWidth="1"/>
    <col min="32" max="32" width="8.453125" style="1" customWidth="1"/>
    <col min="33" max="33" width="9.6328125" style="1" customWidth="1"/>
    <col min="34" max="34" width="9" style="1" customWidth="1"/>
    <col min="35" max="35" width="7" style="1" customWidth="1"/>
    <col min="36" max="36" width="6.54296875" style="1" customWidth="1"/>
    <col min="37" max="37" width="6.90625" style="1" customWidth="1"/>
    <col min="38" max="38" width="7" style="1" customWidth="1"/>
    <col min="39" max="39" width="6.54296875" style="1" customWidth="1"/>
    <col min="40" max="40" width="4.90625" style="1" customWidth="1"/>
    <col min="41" max="41" width="8.6328125" style="1" customWidth="1"/>
    <col min="42" max="42" width="4.453125" style="1" customWidth="1"/>
    <col min="43" max="16384" width="10.36328125" style="1" customWidth="1"/>
  </cols>
  <sheetData>
    <row r="1" ht="13.5" customHeight="1" spans="1:39" x14ac:dyDescent="0.25">
      <c r="A1" s="2"/>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4"/>
      <c r="AI1" s="5"/>
      <c r="AJ1" s="5"/>
      <c r="AK1" s="5"/>
      <c r="AL1" s="5"/>
      <c r="AM1" s="5"/>
    </row>
    <row r="2" ht="19.5" customHeight="1" spans="1:39" x14ac:dyDescent="0.25">
      <c r="A2" s="6" t="s">
        <v>0</v>
      </c>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row>
    <row r="3" ht="19.5" customHeight="1" spans="1:39" x14ac:dyDescent="0.25">
      <c r="A3" s="7" t="s">
        <v>1</v>
      </c>
      <c r="B3" s="7"/>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row>
    <row r="4" ht="6.75" customHeight="1" spans="1:39"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c r="AM4" s="8"/>
    </row>
    <row r="5" ht="6.75" customHeight="1" spans="1:39"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c r="AK5" s="8"/>
      <c r="AL5" s="8"/>
      <c r="AM5" s="8"/>
    </row>
    <row r="6" ht="40.5" customHeight="1" spans="1:46" x14ac:dyDescent="0.25">
      <c r="A6" s="8"/>
      <c r="B6" s="9" t="s">
        <v>2</v>
      </c>
      <c r="C6" s="9"/>
      <c r="D6" s="9"/>
      <c r="E6" s="9"/>
      <c r="F6" s="9"/>
      <c r="G6" s="10"/>
      <c r="H6" s="10"/>
      <c r="I6" s="10"/>
      <c r="J6" s="10"/>
      <c r="K6" s="11"/>
      <c r="L6" s="11"/>
      <c r="M6" s="9" t="s">
        <v>3</v>
      </c>
      <c r="N6" s="12" t="s">
        <v>4</v>
      </c>
      <c r="O6" s="13"/>
      <c r="P6" s="13"/>
      <c r="Q6" s="13"/>
      <c r="R6" s="14"/>
      <c r="S6" s="11"/>
      <c r="T6" s="9" t="s">
        <v>5</v>
      </c>
      <c r="U6" s="9"/>
      <c r="V6" s="9"/>
      <c r="W6" s="9"/>
      <c r="X6" s="9"/>
      <c r="Y6" s="9"/>
      <c r="Z6" s="15"/>
      <c r="AA6" s="16" t="s">
        <v>6</v>
      </c>
      <c r="AB6" s="13"/>
      <c r="AC6" s="13"/>
      <c r="AD6" s="13"/>
      <c r="AE6" s="13"/>
      <c r="AF6" s="14"/>
      <c r="AG6" s="11"/>
      <c r="AH6" s="11"/>
      <c r="AI6" s="11"/>
      <c r="AJ6" s="11"/>
      <c r="AK6" s="11"/>
      <c r="AL6" s="8"/>
      <c r="AM6" s="8"/>
      <c r="AO6" s="17" t="s">
        <v>7</v>
      </c>
      <c r="AP6" s="17"/>
      <c r="AQ6" s="17"/>
      <c r="AR6" s="17"/>
      <c r="AS6" s="17"/>
      <c r="AT6" s="17"/>
    </row>
    <row r="7" ht="41.25" customHeight="1" spans="1:39" x14ac:dyDescent="0.25">
      <c r="A7" s="18"/>
      <c r="B7" s="9" t="s">
        <v>8</v>
      </c>
      <c r="C7" s="9"/>
      <c r="D7" s="9"/>
      <c r="E7" s="9"/>
      <c r="F7" s="9"/>
      <c r="G7" s="10"/>
      <c r="H7" s="10"/>
      <c r="I7" s="10"/>
      <c r="J7" s="10"/>
      <c r="K7" s="10"/>
      <c r="L7" s="10"/>
      <c r="M7" s="10"/>
      <c r="N7" s="10"/>
      <c r="O7" s="10"/>
      <c r="P7" s="10"/>
      <c r="Q7" s="10"/>
      <c r="R7" s="10"/>
      <c r="S7" s="19"/>
      <c r="T7" s="19"/>
      <c r="U7" s="19"/>
      <c r="V7" s="19"/>
      <c r="W7" s="9" t="s">
        <v>9</v>
      </c>
      <c r="X7" s="9"/>
      <c r="Y7" s="9"/>
      <c r="Z7" s="15"/>
      <c r="AA7" s="12"/>
      <c r="AB7" s="14"/>
      <c r="AC7" s="20" t="s">
        <v>10</v>
      </c>
      <c r="AD7" s="9"/>
      <c r="AE7" s="15"/>
      <c r="AF7" s="12"/>
      <c r="AG7" s="13"/>
      <c r="AH7" s="13"/>
      <c r="AI7" s="13"/>
      <c r="AJ7" s="13"/>
      <c r="AK7" s="14"/>
      <c r="AL7" s="18"/>
      <c r="AM7" s="18"/>
    </row>
    <row r="8" ht="6" customHeight="1" x14ac:dyDescent="0.25"/>
    <row r="9" ht="20.25" customHeight="1" spans="1:43" x14ac:dyDescent="0.25">
      <c r="A9" s="21" t="s">
        <v>11</v>
      </c>
      <c r="B9" s="22"/>
      <c r="C9" s="22"/>
      <c r="D9" s="22"/>
      <c r="E9" s="22"/>
      <c r="F9" s="22"/>
      <c r="G9" s="23" t="s">
        <v>12</v>
      </c>
      <c r="H9" s="24"/>
      <c r="I9" s="24"/>
      <c r="J9" s="24"/>
      <c r="K9" s="24"/>
      <c r="L9" s="24"/>
      <c r="M9" s="24"/>
      <c r="N9" s="24"/>
      <c r="O9" s="24"/>
      <c r="P9" s="24"/>
      <c r="Q9" s="24"/>
      <c r="R9" s="24"/>
      <c r="S9" s="24"/>
      <c r="T9" s="24"/>
      <c r="U9" s="24"/>
      <c r="V9" s="24"/>
      <c r="W9" s="24"/>
      <c r="X9" s="24"/>
      <c r="Y9" s="24"/>
      <c r="Z9" s="24"/>
      <c r="AA9" s="24"/>
      <c r="AB9" s="24"/>
      <c r="AC9" s="24"/>
      <c r="AD9" s="24"/>
      <c r="AE9" s="25"/>
      <c r="AF9" s="26" t="s">
        <v>13</v>
      </c>
      <c r="AG9" s="26"/>
      <c r="AH9" s="27" t="s">
        <v>14</v>
      </c>
      <c r="AI9" s="28"/>
      <c r="AJ9" s="28"/>
      <c r="AK9" s="28"/>
      <c r="AL9" s="28"/>
      <c r="AM9" s="29"/>
      <c r="AO9" s="30" t="s">
        <v>15</v>
      </c>
      <c r="AP9" s="30"/>
      <c r="AQ9" s="31">
        <v>21</v>
      </c>
    </row>
    <row r="10" ht="19.5" customHeight="1" spans="1:43" x14ac:dyDescent="0.25">
      <c r="A10" s="32"/>
      <c r="B10" s="33"/>
      <c r="C10" s="33"/>
      <c r="D10" s="33"/>
      <c r="E10" s="33"/>
      <c r="F10" s="33"/>
      <c r="G10" s="34">
        <v>2</v>
      </c>
      <c r="H10" s="35">
        <v>3</v>
      </c>
      <c r="I10" s="35">
        <v>4</v>
      </c>
      <c r="J10" s="35">
        <v>5</v>
      </c>
      <c r="K10" s="36">
        <v>6</v>
      </c>
      <c r="L10" s="37">
        <v>9</v>
      </c>
      <c r="M10" s="35">
        <v>10</v>
      </c>
      <c r="N10" s="35">
        <v>11</v>
      </c>
      <c r="O10" s="35">
        <v>12</v>
      </c>
      <c r="P10" s="38">
        <v>13</v>
      </c>
      <c r="Q10" s="34">
        <v>16</v>
      </c>
      <c r="R10" s="35">
        <v>17</v>
      </c>
      <c r="S10" s="35">
        <v>18</v>
      </c>
      <c r="T10" s="35">
        <v>19</v>
      </c>
      <c r="U10" s="36">
        <v>20</v>
      </c>
      <c r="V10" s="37">
        <v>23</v>
      </c>
      <c r="W10" s="35">
        <v>24</v>
      </c>
      <c r="X10" s="35">
        <v>25</v>
      </c>
      <c r="Y10" s="35">
        <v>26</v>
      </c>
      <c r="Z10" s="38">
        <v>27</v>
      </c>
      <c r="AA10" s="34">
        <v>30</v>
      </c>
      <c r="AB10" s="35"/>
      <c r="AC10" s="35"/>
      <c r="AD10" s="35"/>
      <c r="AE10" s="36"/>
      <c r="AF10" s="39"/>
      <c r="AG10" s="39"/>
      <c r="AH10" s="40"/>
      <c r="AI10" s="41"/>
      <c r="AJ10" s="41"/>
      <c r="AK10" s="41"/>
      <c r="AL10" s="41"/>
      <c r="AM10" s="42"/>
      <c r="AO10" s="30"/>
      <c r="AP10" s="30"/>
      <c r="AQ10" s="31"/>
    </row>
    <row r="11" ht="24.75" customHeight="1" spans="1:39" x14ac:dyDescent="0.25">
      <c r="A11" s="32"/>
      <c r="B11" s="33"/>
      <c r="C11" s="33"/>
      <c r="D11" s="33"/>
      <c r="E11" s="33"/>
      <c r="F11" s="33"/>
      <c r="G11" s="43" t="s">
        <v>16</v>
      </c>
      <c r="H11" s="44" t="s">
        <v>17</v>
      </c>
      <c r="I11" s="44" t="s">
        <v>18</v>
      </c>
      <c r="J11" s="44" t="s">
        <v>19</v>
      </c>
      <c r="K11" s="45" t="s">
        <v>20</v>
      </c>
      <c r="L11" s="46" t="s">
        <v>16</v>
      </c>
      <c r="M11" s="44" t="s">
        <v>17</v>
      </c>
      <c r="N11" s="44" t="s">
        <v>18</v>
      </c>
      <c r="O11" s="44" t="s">
        <v>19</v>
      </c>
      <c r="P11" s="47" t="s">
        <v>20</v>
      </c>
      <c r="Q11" s="43" t="s">
        <v>16</v>
      </c>
      <c r="R11" s="44" t="s">
        <v>17</v>
      </c>
      <c r="S11" s="44" t="s">
        <v>18</v>
      </c>
      <c r="T11" s="44" t="s">
        <v>19</v>
      </c>
      <c r="U11" s="45" t="s">
        <v>20</v>
      </c>
      <c r="V11" s="46" t="s">
        <v>16</v>
      </c>
      <c r="W11" s="44" t="s">
        <v>17</v>
      </c>
      <c r="X11" s="44" t="s">
        <v>18</v>
      </c>
      <c r="Y11" s="44" t="s">
        <v>19</v>
      </c>
      <c r="Z11" s="47" t="s">
        <v>20</v>
      </c>
      <c r="AA11" s="43" t="s">
        <v>16</v>
      </c>
      <c r="AB11" s="44" t="s">
        <v>17</v>
      </c>
      <c r="AC11" s="44" t="s">
        <v>18</v>
      </c>
      <c r="AD11" s="47" t="s">
        <v>19</v>
      </c>
      <c r="AE11" s="45" t="s">
        <v>20</v>
      </c>
      <c r="AF11" s="48" t="s">
        <v>21</v>
      </c>
      <c r="AG11" s="49" t="s">
        <v>22</v>
      </c>
      <c r="AH11" s="40"/>
      <c r="AI11" s="41"/>
      <c r="AJ11" s="41"/>
      <c r="AK11" s="41"/>
      <c r="AL11" s="41"/>
      <c r="AM11" s="42"/>
    </row>
    <row r="12" ht="6" customHeight="1" spans="1:39" x14ac:dyDescent="0.25">
      <c r="A12" s="50"/>
      <c r="B12" s="51"/>
      <c r="C12" s="51"/>
      <c r="D12" s="51"/>
      <c r="E12" s="51"/>
      <c r="F12" s="51"/>
      <c r="G12" s="52"/>
      <c r="H12" s="53"/>
      <c r="I12" s="53"/>
      <c r="J12" s="53"/>
      <c r="K12" s="54"/>
      <c r="L12" s="55"/>
      <c r="M12" s="53"/>
      <c r="N12" s="53"/>
      <c r="O12" s="53"/>
      <c r="P12" s="56"/>
      <c r="Q12" s="52"/>
      <c r="R12" s="53"/>
      <c r="S12" s="53"/>
      <c r="T12" s="53"/>
      <c r="U12" s="54"/>
      <c r="V12" s="55"/>
      <c r="W12" s="53"/>
      <c r="X12" s="53"/>
      <c r="Y12" s="53"/>
      <c r="Z12" s="56"/>
      <c r="AA12" s="52"/>
      <c r="AB12" s="53"/>
      <c r="AC12" s="53"/>
      <c r="AD12" s="56"/>
      <c r="AE12" s="54"/>
      <c r="AF12" s="57"/>
      <c r="AG12" s="58"/>
      <c r="AH12" s="59"/>
      <c r="AI12" s="60"/>
      <c r="AJ12" s="60"/>
      <c r="AK12" s="60"/>
      <c r="AL12" s="60"/>
      <c r="AM12" s="61"/>
    </row>
    <row r="13" ht="21.9" customHeight="1" spans="1:43" x14ac:dyDescent="0.25">
      <c r="A13" s="62">
        <v>1</v>
      </c>
      <c r="B13" s="63" t="s">
        <v>23</v>
      </c>
      <c r="C13" s="64"/>
      <c r="D13" s="64"/>
      <c r="E13" s="64"/>
      <c r="F13" s="64"/>
      <c r="G13" s="62" t="s">
        <v>24</v>
      </c>
      <c r="H13" s="62" t="s">
        <v>24</v>
      </c>
      <c r="I13" s="62" t="s">
        <v>24</v>
      </c>
      <c r="J13" s="62" t="s">
        <v>24</v>
      </c>
      <c r="K13" s="62" t="s">
        <v>24</v>
      </c>
      <c r="L13" s="62" t="s">
        <v>24</v>
      </c>
      <c r="M13" s="62" t="s">
        <v>24</v>
      </c>
      <c r="N13" s="62" t="s">
        <v>24</v>
      </c>
      <c r="O13" s="62" t="s">
        <v>24</v>
      </c>
      <c r="P13" s="62" t="s">
        <v>24</v>
      </c>
      <c r="Q13" s="62" t="s">
        <v>24</v>
      </c>
      <c r="R13" s="62" t="s">
        <v>24</v>
      </c>
      <c r="S13" s="62" t="s">
        <v>24</v>
      </c>
      <c r="T13" s="62" t="s">
        <v>24</v>
      </c>
      <c r="U13" s="62" t="s">
        <v>24</v>
      </c>
      <c r="V13" s="62" t="s">
        <v>24</v>
      </c>
      <c r="W13" s="62" t="s">
        <v>24</v>
      </c>
      <c r="X13" s="62" t="s">
        <v>24</v>
      </c>
      <c r="Y13" s="62" t="s">
        <v>24</v>
      </c>
      <c r="Z13" s="62" t="s">
        <v>24</v>
      </c>
      <c r="AA13" s="62" t="s">
        <v>24</v>
      </c>
      <c r="AB13" s="62"/>
      <c r="AC13" s="62"/>
      <c r="AD13" s="62"/>
      <c r="AE13" s="62"/>
      <c r="AF13" s="65">
        <f t="shared" ref="AF13:AF20" si="0">IF(B13="","",COUNTIF(G13:AE13,"x")+COUNTIF(G13:AE13,"h")*0.5)</f>
      </c>
      <c r="AG13" s="66">
        <f t="shared" ref="AG13:AG20" si="1">IF(B13="","",$AJ$117-AF13)</f>
      </c>
      <c r="AH13" s="67"/>
      <c r="AI13" s="64"/>
      <c r="AJ13" s="64"/>
      <c r="AK13" s="64"/>
      <c r="AL13" s="64"/>
      <c r="AM13" s="68"/>
      <c r="AO13" s="3" t="s">
        <v>25</v>
      </c>
      <c r="AQ13" s="69" t="s">
        <v>24</v>
      </c>
    </row>
    <row r="14" ht="21.9" customHeight="1" spans="1:43" x14ac:dyDescent="0.25">
      <c r="A14" s="62">
        <v>2</v>
      </c>
      <c r="B14" s="70" t="s">
        <v>26</v>
      </c>
      <c r="C14" s="71"/>
      <c r="D14" s="71"/>
      <c r="E14" s="71"/>
      <c r="F14" s="71"/>
      <c r="G14" s="62" t="s">
        <v>24</v>
      </c>
      <c r="H14" s="62" t="s">
        <v>24</v>
      </c>
      <c r="I14" s="62" t="s">
        <v>24</v>
      </c>
      <c r="J14" s="62" t="s">
        <v>24</v>
      </c>
      <c r="K14" s="62" t="s">
        <v>24</v>
      </c>
      <c r="L14" s="62" t="s">
        <v>24</v>
      </c>
      <c r="M14" s="62" t="s">
        <v>24</v>
      </c>
      <c r="N14" s="62" t="s">
        <v>24</v>
      </c>
      <c r="O14" s="62" t="s">
        <v>24</v>
      </c>
      <c r="P14" s="62" t="s">
        <v>24</v>
      </c>
      <c r="Q14" s="62" t="s">
        <v>24</v>
      </c>
      <c r="R14" s="62" t="s">
        <v>24</v>
      </c>
      <c r="S14" s="62" t="s">
        <v>24</v>
      </c>
      <c r="T14" s="62" t="s">
        <v>24</v>
      </c>
      <c r="U14" s="62" t="s">
        <v>24</v>
      </c>
      <c r="V14" s="62" t="s">
        <v>24</v>
      </c>
      <c r="W14" s="62" t="s">
        <v>24</v>
      </c>
      <c r="X14" s="62" t="s">
        <v>24</v>
      </c>
      <c r="Y14" s="62" t="s">
        <v>24</v>
      </c>
      <c r="Z14" s="62" t="s">
        <v>24</v>
      </c>
      <c r="AA14" s="62" t="s">
        <v>24</v>
      </c>
      <c r="AB14" s="62"/>
      <c r="AC14" s="62"/>
      <c r="AD14" s="62"/>
      <c r="AE14" s="62"/>
      <c r="AF14" s="72">
        <f t="shared" si="0"/>
      </c>
      <c r="AG14" s="73">
        <f t="shared" si="1"/>
      </c>
      <c r="AH14" s="74"/>
      <c r="AI14" s="75"/>
      <c r="AJ14" s="75"/>
      <c r="AK14" s="75"/>
      <c r="AL14" s="75"/>
      <c r="AM14" s="76"/>
      <c r="AO14" s="17" t="s">
        <v>27</v>
      </c>
      <c r="AP14" s="1" t="s">
        <v>28</v>
      </c>
      <c r="AQ14" s="69" t="s">
        <v>24</v>
      </c>
    </row>
    <row r="15" ht="21.9" customHeight="1" spans="1:43" x14ac:dyDescent="0.25">
      <c r="A15" s="62">
        <v>3</v>
      </c>
      <c r="B15" s="70" t="s">
        <v>29</v>
      </c>
      <c r="C15" s="71"/>
      <c r="D15" s="71"/>
      <c r="E15" s="71"/>
      <c r="F15" s="71"/>
      <c r="G15" s="62" t="s">
        <v>24</v>
      </c>
      <c r="H15" s="62" t="s">
        <v>24</v>
      </c>
      <c r="I15" s="62" t="s">
        <v>24</v>
      </c>
      <c r="J15" s="62" t="s">
        <v>24</v>
      </c>
      <c r="K15" s="62" t="s">
        <v>24</v>
      </c>
      <c r="L15" s="62" t="s">
        <v>24</v>
      </c>
      <c r="M15" s="62" t="s">
        <v>24</v>
      </c>
      <c r="N15" s="62" t="s">
        <v>24</v>
      </c>
      <c r="O15" s="62" t="s">
        <v>24</v>
      </c>
      <c r="P15" s="62" t="s">
        <v>24</v>
      </c>
      <c r="Q15" s="62" t="s">
        <v>24</v>
      </c>
      <c r="R15" s="62" t="s">
        <v>24</v>
      </c>
      <c r="S15" s="62" t="s">
        <v>24</v>
      </c>
      <c r="T15" s="62" t="s">
        <v>24</v>
      </c>
      <c r="U15" s="62" t="s">
        <v>24</v>
      </c>
      <c r="V15" s="62" t="s">
        <v>24</v>
      </c>
      <c r="W15" s="62" t="s">
        <v>24</v>
      </c>
      <c r="X15" s="62" t="s">
        <v>24</v>
      </c>
      <c r="Y15" s="62" t="s">
        <v>24</v>
      </c>
      <c r="Z15" s="62" t="s">
        <v>24</v>
      </c>
      <c r="AA15" s="62" t="s">
        <v>24</v>
      </c>
      <c r="AB15" s="62"/>
      <c r="AC15" s="62"/>
      <c r="AD15" s="62"/>
      <c r="AE15" s="62"/>
      <c r="AF15" s="72">
        <f t="shared" si="0"/>
      </c>
      <c r="AG15" s="73">
        <f t="shared" si="1"/>
      </c>
      <c r="AH15" s="74"/>
      <c r="AI15" s="75"/>
      <c r="AJ15" s="75"/>
      <c r="AK15" s="75"/>
      <c r="AL15" s="75"/>
      <c r="AM15" s="76"/>
      <c r="AO15" s="17" t="s">
        <v>30</v>
      </c>
      <c r="AP15" s="1" t="s">
        <v>31</v>
      </c>
      <c r="AQ15" s="69" t="s">
        <v>24</v>
      </c>
    </row>
    <row r="16" ht="21.9" customHeight="1" spans="1:43" x14ac:dyDescent="0.25">
      <c r="A16" s="62">
        <v>4</v>
      </c>
      <c r="B16" s="70"/>
      <c r="C16" s="71"/>
      <c r="D16" s="71"/>
      <c r="E16" s="71"/>
      <c r="F16" s="71"/>
      <c r="G16" s="62"/>
      <c r="H16" s="62"/>
      <c r="I16" s="62"/>
      <c r="J16" s="62"/>
      <c r="K16" s="62"/>
      <c r="L16" s="62"/>
      <c r="M16" s="62"/>
      <c r="N16" s="62"/>
      <c r="O16" s="62"/>
      <c r="P16" s="62"/>
      <c r="Q16" s="62"/>
      <c r="R16" s="62"/>
      <c r="S16" s="62"/>
      <c r="T16" s="62"/>
      <c r="U16" s="62"/>
      <c r="V16" s="62"/>
      <c r="W16" s="62"/>
      <c r="X16" s="62"/>
      <c r="Y16" s="62"/>
      <c r="Z16" s="62"/>
      <c r="AA16" s="62"/>
      <c r="AB16" s="62"/>
      <c r="AC16" s="62"/>
      <c r="AD16" s="62"/>
      <c r="AE16" s="62"/>
      <c r="AF16" s="72">
        <f t="shared" si="0"/>
      </c>
      <c r="AG16" s="73">
        <f t="shared" si="1"/>
      </c>
      <c r="AH16" s="74"/>
      <c r="AI16" s="75"/>
      <c r="AJ16" s="75"/>
      <c r="AK16" s="75"/>
      <c r="AL16" s="75"/>
      <c r="AM16" s="76"/>
      <c r="AO16" s="17" t="s">
        <v>32</v>
      </c>
      <c r="AP16" s="1" t="s">
        <v>33</v>
      </c>
      <c r="AQ16" s="77"/>
    </row>
    <row r="17" ht="21.9" customHeight="1" spans="1:43" x14ac:dyDescent="0.25">
      <c r="A17" s="62">
        <v>5</v>
      </c>
      <c r="B17" s="70"/>
      <c r="C17" s="71"/>
      <c r="D17" s="71"/>
      <c r="E17" s="71"/>
      <c r="F17" s="71"/>
      <c r="G17" s="62"/>
      <c r="H17" s="62"/>
      <c r="I17" s="62"/>
      <c r="J17" s="62"/>
      <c r="K17" s="62"/>
      <c r="L17" s="62"/>
      <c r="M17" s="62"/>
      <c r="N17" s="62"/>
      <c r="O17" s="62"/>
      <c r="P17" s="62"/>
      <c r="Q17" s="62"/>
      <c r="R17" s="62"/>
      <c r="S17" s="62"/>
      <c r="T17" s="62"/>
      <c r="U17" s="62"/>
      <c r="V17" s="62"/>
      <c r="W17" s="62"/>
      <c r="X17" s="62"/>
      <c r="Y17" s="62"/>
      <c r="Z17" s="62"/>
      <c r="AA17" s="62"/>
      <c r="AB17" s="62"/>
      <c r="AC17" s="62"/>
      <c r="AD17" s="62"/>
      <c r="AE17" s="62"/>
      <c r="AF17" s="72">
        <f t="shared" si="0"/>
      </c>
      <c r="AG17" s="73">
        <f t="shared" si="1"/>
      </c>
      <c r="AH17" s="74"/>
      <c r="AI17" s="75"/>
      <c r="AJ17" s="75"/>
      <c r="AK17" s="75"/>
      <c r="AL17" s="75"/>
      <c r="AM17" s="76"/>
      <c r="AQ17" s="77"/>
    </row>
    <row r="18" ht="21.9" customHeight="1" spans="1:43" x14ac:dyDescent="0.25">
      <c r="A18" s="62">
        <v>6</v>
      </c>
      <c r="B18" s="70"/>
      <c r="C18" s="71"/>
      <c r="D18" s="71"/>
      <c r="E18" s="71"/>
      <c r="F18" s="71"/>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72">
        <f t="shared" si="0"/>
      </c>
      <c r="AG18" s="73">
        <f t="shared" si="1"/>
      </c>
      <c r="AH18" s="74"/>
      <c r="AI18" s="75"/>
      <c r="AJ18" s="75"/>
      <c r="AK18" s="75"/>
      <c r="AL18" s="75"/>
      <c r="AM18" s="76"/>
      <c r="AO18" s="3" t="s">
        <v>34</v>
      </c>
      <c r="AP18" s="1" t="s">
        <v>35</v>
      </c>
      <c r="AQ18" s="77"/>
    </row>
    <row r="19" ht="21.9" customHeight="1" spans="1:43" x14ac:dyDescent="0.25">
      <c r="A19" s="62">
        <v>7</v>
      </c>
      <c r="B19" s="70"/>
      <c r="C19" s="71"/>
      <c r="D19" s="71"/>
      <c r="E19" s="71"/>
      <c r="F19" s="71"/>
      <c r="G19" s="62"/>
      <c r="H19" s="62"/>
      <c r="I19" s="62"/>
      <c r="J19" s="62"/>
      <c r="K19" s="62"/>
      <c r="L19" s="62"/>
      <c r="M19" s="62"/>
      <c r="N19" s="62"/>
      <c r="O19" s="62"/>
      <c r="P19" s="62"/>
      <c r="Q19" s="62"/>
      <c r="R19" s="62"/>
      <c r="S19" s="62"/>
      <c r="T19" s="62"/>
      <c r="U19" s="62"/>
      <c r="V19" s="62"/>
      <c r="W19" s="62"/>
      <c r="X19" s="62"/>
      <c r="Y19" s="62"/>
      <c r="Z19" s="62"/>
      <c r="AA19" s="62"/>
      <c r="AB19" s="62"/>
      <c r="AC19" s="62"/>
      <c r="AD19" s="62"/>
      <c r="AE19" s="62"/>
      <c r="AF19" s="72">
        <f t="shared" si="0"/>
      </c>
      <c r="AG19" s="73">
        <f t="shared" si="1"/>
      </c>
      <c r="AH19" s="74"/>
      <c r="AI19" s="75"/>
      <c r="AJ19" s="75"/>
      <c r="AK19" s="75"/>
      <c r="AL19" s="75"/>
      <c r="AM19" s="76"/>
      <c r="AQ19" s="77"/>
    </row>
    <row r="20" ht="21.9" customHeight="1" spans="1:43" x14ac:dyDescent="0.25">
      <c r="A20" s="62">
        <v>8</v>
      </c>
      <c r="B20" s="70"/>
      <c r="C20" s="71"/>
      <c r="D20" s="71"/>
      <c r="E20" s="71"/>
      <c r="F20" s="71"/>
      <c r="G20" s="62"/>
      <c r="H20" s="62"/>
      <c r="I20" s="62"/>
      <c r="J20" s="62"/>
      <c r="K20" s="62"/>
      <c r="L20" s="62"/>
      <c r="M20" s="62"/>
      <c r="N20" s="62"/>
      <c r="O20" s="62"/>
      <c r="P20" s="62"/>
      <c r="Q20" s="62"/>
      <c r="R20" s="62"/>
      <c r="S20" s="62"/>
      <c r="T20" s="62"/>
      <c r="U20" s="62"/>
      <c r="V20" s="62"/>
      <c r="W20" s="62"/>
      <c r="X20" s="62"/>
      <c r="Y20" s="62"/>
      <c r="Z20" s="62"/>
      <c r="AA20" s="62"/>
      <c r="AB20" s="62"/>
      <c r="AC20" s="62"/>
      <c r="AD20" s="62"/>
      <c r="AE20" s="62"/>
      <c r="AF20" s="72">
        <f t="shared" si="0"/>
      </c>
      <c r="AG20" s="73">
        <f t="shared" si="1"/>
      </c>
      <c r="AH20" s="74"/>
      <c r="AI20" s="75"/>
      <c r="AJ20" s="75"/>
      <c r="AK20" s="75"/>
      <c r="AL20" s="75"/>
      <c r="AM20" s="76"/>
      <c r="AQ20" s="77"/>
    </row>
    <row r="21" ht="21.9" customHeight="1" spans="1:43" x14ac:dyDescent="0.25">
      <c r="A21" s="62">
        <v>9</v>
      </c>
      <c r="B21" s="70"/>
      <c r="C21" s="71"/>
      <c r="D21" s="71"/>
      <c r="E21" s="71"/>
      <c r="F21" s="71"/>
      <c r="G21" s="62"/>
      <c r="H21" s="62"/>
      <c r="I21" s="62"/>
      <c r="J21" s="62"/>
      <c r="K21" s="62"/>
      <c r="L21" s="62"/>
      <c r="M21" s="62"/>
      <c r="N21" s="62"/>
      <c r="O21" s="62"/>
      <c r="P21" s="62"/>
      <c r="Q21" s="62"/>
      <c r="R21" s="62"/>
      <c r="S21" s="62"/>
      <c r="T21" s="62"/>
      <c r="U21" s="62"/>
      <c r="V21" s="62"/>
      <c r="W21" s="62"/>
      <c r="X21" s="62"/>
      <c r="Y21" s="62"/>
      <c r="Z21" s="62"/>
      <c r="AA21" s="62"/>
      <c r="AB21" s="62"/>
      <c r="AC21" s="62"/>
      <c r="AD21" s="62"/>
      <c r="AE21" s="62"/>
      <c r="AF21" s="72"/>
      <c r="AG21" s="73"/>
      <c r="AH21" s="74"/>
      <c r="AI21" s="75"/>
      <c r="AJ21" s="75"/>
      <c r="AK21" s="75"/>
      <c r="AL21" s="75"/>
      <c r="AM21" s="76"/>
      <c r="AQ21" s="77"/>
    </row>
    <row r="22" ht="21.9" customHeight="1" spans="1:43" x14ac:dyDescent="0.25">
      <c r="A22" s="62">
        <v>10</v>
      </c>
      <c r="B22" s="70"/>
      <c r="C22" s="71"/>
      <c r="D22" s="71"/>
      <c r="E22" s="71"/>
      <c r="F22" s="71"/>
      <c r="G22" s="62"/>
      <c r="H22" s="62"/>
      <c r="I22" s="62"/>
      <c r="J22" s="62"/>
      <c r="K22" s="62"/>
      <c r="L22" s="62"/>
      <c r="M22" s="62"/>
      <c r="N22" s="62"/>
      <c r="O22" s="62"/>
      <c r="P22" s="62"/>
      <c r="Q22" s="62"/>
      <c r="R22" s="62"/>
      <c r="S22" s="62"/>
      <c r="T22" s="62"/>
      <c r="U22" s="62"/>
      <c r="V22" s="62"/>
      <c r="W22" s="62"/>
      <c r="X22" s="62"/>
      <c r="Y22" s="62"/>
      <c r="Z22" s="62"/>
      <c r="AA22" s="62"/>
      <c r="AB22" s="62"/>
      <c r="AC22" s="62"/>
      <c r="AD22" s="62"/>
      <c r="AE22" s="62"/>
      <c r="AF22" s="72"/>
      <c r="AG22" s="73"/>
      <c r="AH22" s="74"/>
      <c r="AI22" s="75"/>
      <c r="AJ22" s="75"/>
      <c r="AK22" s="75"/>
      <c r="AL22" s="75"/>
      <c r="AM22" s="76"/>
      <c r="AQ22" s="77"/>
    </row>
    <row r="23" ht="21.9" customHeight="1" spans="1:43" x14ac:dyDescent="0.25">
      <c r="A23" s="62">
        <v>11</v>
      </c>
      <c r="B23" s="70"/>
      <c r="C23" s="71"/>
      <c r="D23" s="71"/>
      <c r="E23" s="71"/>
      <c r="F23" s="71"/>
      <c r="G23" s="62"/>
      <c r="H23" s="62"/>
      <c r="I23" s="62"/>
      <c r="J23" s="62"/>
      <c r="K23" s="62"/>
      <c r="L23" s="62"/>
      <c r="M23" s="62"/>
      <c r="N23" s="62"/>
      <c r="O23" s="62"/>
      <c r="P23" s="62"/>
      <c r="Q23" s="62"/>
      <c r="R23" s="62"/>
      <c r="S23" s="62"/>
      <c r="T23" s="62"/>
      <c r="U23" s="62"/>
      <c r="V23" s="62"/>
      <c r="W23" s="62"/>
      <c r="X23" s="62"/>
      <c r="Y23" s="62"/>
      <c r="Z23" s="62"/>
      <c r="AA23" s="62"/>
      <c r="AB23" s="62"/>
      <c r="AC23" s="62"/>
      <c r="AD23" s="62"/>
      <c r="AE23" s="62"/>
      <c r="AF23" s="72"/>
      <c r="AG23" s="73"/>
      <c r="AH23" s="74"/>
      <c r="AI23" s="75"/>
      <c r="AJ23" s="75"/>
      <c r="AK23" s="75"/>
      <c r="AL23" s="75"/>
      <c r="AM23" s="76"/>
      <c r="AQ23" s="77"/>
    </row>
    <row r="24" ht="21.9" customHeight="1" spans="1:43" x14ac:dyDescent="0.25">
      <c r="A24" s="62">
        <v>12</v>
      </c>
      <c r="B24" s="70"/>
      <c r="C24" s="71"/>
      <c r="D24" s="71"/>
      <c r="E24" s="71"/>
      <c r="F24" s="71"/>
      <c r="G24" s="62"/>
      <c r="H24" s="62"/>
      <c r="I24" s="62"/>
      <c r="J24" s="62"/>
      <c r="K24" s="62"/>
      <c r="L24" s="62"/>
      <c r="M24" s="62"/>
      <c r="N24" s="62"/>
      <c r="O24" s="62"/>
      <c r="P24" s="62"/>
      <c r="Q24" s="62"/>
      <c r="R24" s="62"/>
      <c r="S24" s="62"/>
      <c r="T24" s="62"/>
      <c r="U24" s="62"/>
      <c r="V24" s="62"/>
      <c r="W24" s="62"/>
      <c r="X24" s="62"/>
      <c r="Y24" s="62"/>
      <c r="Z24" s="62"/>
      <c r="AA24" s="62"/>
      <c r="AB24" s="62"/>
      <c r="AC24" s="62"/>
      <c r="AD24" s="62"/>
      <c r="AE24" s="62"/>
      <c r="AF24" s="72"/>
      <c r="AG24" s="73"/>
      <c r="AH24" s="74"/>
      <c r="AI24" s="75"/>
      <c r="AJ24" s="75"/>
      <c r="AK24" s="75"/>
      <c r="AL24" s="75"/>
      <c r="AM24" s="76"/>
      <c r="AQ24" s="77"/>
    </row>
    <row r="25" ht="21.9" customHeight="1" spans="1:43" x14ac:dyDescent="0.25">
      <c r="A25" s="62">
        <v>13</v>
      </c>
      <c r="B25" s="70"/>
      <c r="C25" s="71"/>
      <c r="D25" s="71"/>
      <c r="E25" s="71"/>
      <c r="F25" s="71"/>
      <c r="G25" s="62"/>
      <c r="H25" s="62"/>
      <c r="I25" s="62"/>
      <c r="J25" s="62"/>
      <c r="K25" s="62"/>
      <c r="L25" s="62"/>
      <c r="M25" s="62"/>
      <c r="N25" s="62"/>
      <c r="O25" s="62"/>
      <c r="P25" s="62"/>
      <c r="Q25" s="62"/>
      <c r="R25" s="62"/>
      <c r="S25" s="62"/>
      <c r="T25" s="62"/>
      <c r="U25" s="62"/>
      <c r="V25" s="62"/>
      <c r="W25" s="62"/>
      <c r="X25" s="62"/>
      <c r="Y25" s="62"/>
      <c r="Z25" s="62"/>
      <c r="AA25" s="62"/>
      <c r="AB25" s="62"/>
      <c r="AC25" s="62"/>
      <c r="AD25" s="62"/>
      <c r="AE25" s="62"/>
      <c r="AF25" s="72"/>
      <c r="AG25" s="73"/>
      <c r="AH25" s="74"/>
      <c r="AI25" s="75"/>
      <c r="AJ25" s="75"/>
      <c r="AK25" s="75"/>
      <c r="AL25" s="75"/>
      <c r="AM25" s="76"/>
      <c r="AQ25" s="77"/>
    </row>
    <row r="26" ht="21.9" customHeight="1" spans="1:43" x14ac:dyDescent="0.25">
      <c r="A26" s="62">
        <v>14</v>
      </c>
      <c r="B26" s="70"/>
      <c r="C26" s="71"/>
      <c r="D26" s="71"/>
      <c r="E26" s="71"/>
      <c r="F26" s="71"/>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72"/>
      <c r="AG26" s="73"/>
      <c r="AH26" s="74"/>
      <c r="AI26" s="75"/>
      <c r="AJ26" s="75"/>
      <c r="AK26" s="75"/>
      <c r="AL26" s="75"/>
      <c r="AM26" s="76"/>
      <c r="AQ26" s="77"/>
    </row>
    <row r="27" ht="21.9" customHeight="1" spans="1:43" x14ac:dyDescent="0.25">
      <c r="A27" s="62">
        <v>15</v>
      </c>
      <c r="B27" s="70"/>
      <c r="C27" s="71"/>
      <c r="D27" s="71"/>
      <c r="E27" s="71"/>
      <c r="F27" s="71"/>
      <c r="G27" s="62"/>
      <c r="H27" s="62"/>
      <c r="I27" s="62"/>
      <c r="J27" s="62"/>
      <c r="K27" s="62"/>
      <c r="L27" s="62"/>
      <c r="M27" s="62"/>
      <c r="N27" s="62"/>
      <c r="O27" s="62"/>
      <c r="P27" s="62"/>
      <c r="Q27" s="62"/>
      <c r="R27" s="62"/>
      <c r="S27" s="62"/>
      <c r="T27" s="62"/>
      <c r="U27" s="62"/>
      <c r="V27" s="62"/>
      <c r="W27" s="62"/>
      <c r="X27" s="62"/>
      <c r="Y27" s="62"/>
      <c r="Z27" s="62"/>
      <c r="AA27" s="62"/>
      <c r="AB27" s="62"/>
      <c r="AC27" s="62"/>
      <c r="AD27" s="62"/>
      <c r="AE27" s="62"/>
      <c r="AF27" s="72"/>
      <c r="AG27" s="73"/>
      <c r="AH27" s="74"/>
      <c r="AI27" s="75"/>
      <c r="AJ27" s="75"/>
      <c r="AK27" s="75"/>
      <c r="AL27" s="75"/>
      <c r="AM27" s="76"/>
      <c r="AQ27" s="77"/>
    </row>
    <row r="28" ht="21.9" customHeight="1" spans="1:43" x14ac:dyDescent="0.25">
      <c r="A28" s="62">
        <v>16</v>
      </c>
      <c r="B28" s="70"/>
      <c r="C28" s="71"/>
      <c r="D28" s="71"/>
      <c r="E28" s="71"/>
      <c r="F28" s="71"/>
      <c r="G28" s="62"/>
      <c r="H28" s="62"/>
      <c r="I28" s="62"/>
      <c r="J28" s="62"/>
      <c r="K28" s="62"/>
      <c r="L28" s="62"/>
      <c r="M28" s="62"/>
      <c r="N28" s="62"/>
      <c r="O28" s="62"/>
      <c r="P28" s="62"/>
      <c r="Q28" s="62"/>
      <c r="R28" s="62"/>
      <c r="S28" s="62"/>
      <c r="T28" s="62"/>
      <c r="U28" s="62"/>
      <c r="V28" s="62"/>
      <c r="W28" s="62"/>
      <c r="X28" s="62"/>
      <c r="Y28" s="62"/>
      <c r="Z28" s="62"/>
      <c r="AA28" s="62"/>
      <c r="AB28" s="62"/>
      <c r="AC28" s="62"/>
      <c r="AD28" s="62"/>
      <c r="AE28" s="62"/>
      <c r="AF28" s="72"/>
      <c r="AG28" s="73"/>
      <c r="AH28" s="74"/>
      <c r="AI28" s="75"/>
      <c r="AJ28" s="75"/>
      <c r="AK28" s="75"/>
      <c r="AL28" s="75"/>
      <c r="AM28" s="76"/>
      <c r="AQ28" s="77"/>
    </row>
    <row r="29" ht="21.9" customHeight="1" spans="1:43" x14ac:dyDescent="0.25">
      <c r="A29" s="62">
        <v>17</v>
      </c>
      <c r="B29" s="70"/>
      <c r="C29" s="71"/>
      <c r="D29" s="71"/>
      <c r="E29" s="71"/>
      <c r="F29" s="71"/>
      <c r="G29" s="62"/>
      <c r="H29" s="62"/>
      <c r="I29" s="62"/>
      <c r="J29" s="62"/>
      <c r="K29" s="62"/>
      <c r="L29" s="62"/>
      <c r="M29" s="62"/>
      <c r="N29" s="62"/>
      <c r="O29" s="62"/>
      <c r="P29" s="62"/>
      <c r="Q29" s="62"/>
      <c r="R29" s="62"/>
      <c r="S29" s="62"/>
      <c r="T29" s="62"/>
      <c r="U29" s="62"/>
      <c r="V29" s="62"/>
      <c r="W29" s="62"/>
      <c r="X29" s="62"/>
      <c r="Y29" s="62"/>
      <c r="Z29" s="62"/>
      <c r="AA29" s="62"/>
      <c r="AB29" s="62"/>
      <c r="AC29" s="62"/>
      <c r="AD29" s="62"/>
      <c r="AE29" s="62"/>
      <c r="AF29" s="72"/>
      <c r="AG29" s="73"/>
      <c r="AH29" s="74"/>
      <c r="AI29" s="75"/>
      <c r="AJ29" s="75"/>
      <c r="AK29" s="75"/>
      <c r="AL29" s="75"/>
      <c r="AM29" s="76"/>
      <c r="AQ29" s="77"/>
    </row>
    <row r="30" ht="21.9" customHeight="1" spans="1:43" x14ac:dyDescent="0.25">
      <c r="A30" s="62">
        <v>18</v>
      </c>
      <c r="B30" s="70"/>
      <c r="C30" s="71"/>
      <c r="D30" s="71"/>
      <c r="E30" s="71"/>
      <c r="F30" s="71"/>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72"/>
      <c r="AG30" s="73"/>
      <c r="AH30" s="74"/>
      <c r="AI30" s="75"/>
      <c r="AJ30" s="75"/>
      <c r="AK30" s="75"/>
      <c r="AL30" s="75"/>
      <c r="AM30" s="76"/>
      <c r="AQ30" s="77"/>
    </row>
    <row r="31" ht="21.9" customHeight="1" spans="1:43" x14ac:dyDescent="0.25">
      <c r="A31" s="62">
        <v>19</v>
      </c>
      <c r="B31" s="70"/>
      <c r="C31" s="71"/>
      <c r="D31" s="71"/>
      <c r="E31" s="71"/>
      <c r="F31" s="71"/>
      <c r="G31" s="62"/>
      <c r="H31" s="62"/>
      <c r="I31" s="62"/>
      <c r="J31" s="62"/>
      <c r="K31" s="62"/>
      <c r="L31" s="62"/>
      <c r="M31" s="62"/>
      <c r="N31" s="62"/>
      <c r="O31" s="62"/>
      <c r="P31" s="62"/>
      <c r="Q31" s="62"/>
      <c r="R31" s="62"/>
      <c r="S31" s="62"/>
      <c r="T31" s="62"/>
      <c r="U31" s="62"/>
      <c r="V31" s="62"/>
      <c r="W31" s="62"/>
      <c r="X31" s="62"/>
      <c r="Y31" s="62"/>
      <c r="Z31" s="62"/>
      <c r="AA31" s="62"/>
      <c r="AB31" s="62"/>
      <c r="AC31" s="62"/>
      <c r="AD31" s="62"/>
      <c r="AE31" s="62"/>
      <c r="AF31" s="72"/>
      <c r="AG31" s="73"/>
      <c r="AH31" s="74"/>
      <c r="AI31" s="75"/>
      <c r="AJ31" s="75"/>
      <c r="AK31" s="75"/>
      <c r="AL31" s="75"/>
      <c r="AM31" s="76"/>
      <c r="AQ31" s="77"/>
    </row>
    <row r="32" ht="21.9" customHeight="1" spans="1:43" x14ac:dyDescent="0.25">
      <c r="A32" s="62">
        <v>20</v>
      </c>
      <c r="B32" s="70"/>
      <c r="C32" s="71"/>
      <c r="D32" s="71"/>
      <c r="E32" s="71"/>
      <c r="F32" s="71"/>
      <c r="G32" s="62"/>
      <c r="H32" s="62"/>
      <c r="I32" s="62"/>
      <c r="J32" s="62"/>
      <c r="K32" s="62"/>
      <c r="L32" s="62"/>
      <c r="M32" s="62"/>
      <c r="N32" s="62"/>
      <c r="O32" s="62"/>
      <c r="P32" s="62"/>
      <c r="Q32" s="62"/>
      <c r="R32" s="62"/>
      <c r="S32" s="62"/>
      <c r="T32" s="62"/>
      <c r="U32" s="62"/>
      <c r="V32" s="62"/>
      <c r="W32" s="62"/>
      <c r="X32" s="62"/>
      <c r="Y32" s="62"/>
      <c r="Z32" s="62"/>
      <c r="AA32" s="62"/>
      <c r="AB32" s="62"/>
      <c r="AC32" s="62"/>
      <c r="AD32" s="62"/>
      <c r="AE32" s="62"/>
      <c r="AF32" s="72"/>
      <c r="AG32" s="73"/>
      <c r="AH32" s="74"/>
      <c r="AI32" s="75"/>
      <c r="AJ32" s="75"/>
      <c r="AK32" s="75"/>
      <c r="AL32" s="75"/>
      <c r="AM32" s="76"/>
      <c r="AQ32" s="77"/>
    </row>
    <row r="33" ht="21.9" customHeight="1" spans="1:43" x14ac:dyDescent="0.25">
      <c r="A33" s="62">
        <v>21</v>
      </c>
      <c r="B33" s="70"/>
      <c r="C33" s="71"/>
      <c r="D33" s="71"/>
      <c r="E33" s="71"/>
      <c r="F33" s="71"/>
      <c r="G33" s="62"/>
      <c r="H33" s="62"/>
      <c r="I33" s="62"/>
      <c r="J33" s="62"/>
      <c r="K33" s="62"/>
      <c r="L33" s="62"/>
      <c r="M33" s="62"/>
      <c r="N33" s="62"/>
      <c r="O33" s="62"/>
      <c r="P33" s="62"/>
      <c r="Q33" s="62"/>
      <c r="R33" s="62"/>
      <c r="S33" s="62"/>
      <c r="T33" s="62"/>
      <c r="U33" s="62"/>
      <c r="V33" s="62"/>
      <c r="W33" s="62"/>
      <c r="X33" s="62"/>
      <c r="Y33" s="62"/>
      <c r="Z33" s="62"/>
      <c r="AA33" s="62"/>
      <c r="AB33" s="62"/>
      <c r="AC33" s="62"/>
      <c r="AD33" s="62"/>
      <c r="AE33" s="62"/>
      <c r="AF33" s="72"/>
      <c r="AG33" s="73"/>
      <c r="AH33" s="74"/>
      <c r="AI33" s="75"/>
      <c r="AJ33" s="75"/>
      <c r="AK33" s="75"/>
      <c r="AL33" s="75"/>
      <c r="AM33" s="76"/>
      <c r="AQ33" s="77"/>
    </row>
    <row r="34" ht="21.9" customHeight="1" spans="1:43" x14ac:dyDescent="0.25">
      <c r="A34" s="62">
        <v>22</v>
      </c>
      <c r="B34" s="70"/>
      <c r="C34" s="71"/>
      <c r="D34" s="71"/>
      <c r="E34" s="71"/>
      <c r="F34" s="71"/>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72"/>
      <c r="AG34" s="73"/>
      <c r="AH34" s="74"/>
      <c r="AI34" s="75"/>
      <c r="AJ34" s="75"/>
      <c r="AK34" s="75"/>
      <c r="AL34" s="75"/>
      <c r="AM34" s="76"/>
      <c r="AQ34" s="77"/>
    </row>
    <row r="35" ht="21.9" customHeight="1" spans="1:43" x14ac:dyDescent="0.25">
      <c r="A35" s="62">
        <v>23</v>
      </c>
      <c r="B35" s="70"/>
      <c r="C35" s="71"/>
      <c r="D35" s="71"/>
      <c r="E35" s="71"/>
      <c r="F35" s="71"/>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72"/>
      <c r="AG35" s="73"/>
      <c r="AH35" s="74"/>
      <c r="AI35" s="75"/>
      <c r="AJ35" s="75"/>
      <c r="AK35" s="75"/>
      <c r="AL35" s="75"/>
      <c r="AM35" s="76"/>
      <c r="AQ35" s="77"/>
    </row>
    <row r="36" ht="21.9" customHeight="1" spans="1:43" x14ac:dyDescent="0.25">
      <c r="A36" s="62">
        <v>24</v>
      </c>
      <c r="B36" s="70"/>
      <c r="C36" s="71"/>
      <c r="D36" s="71"/>
      <c r="E36" s="71"/>
      <c r="F36" s="71"/>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72"/>
      <c r="AG36" s="73"/>
      <c r="AH36" s="74"/>
      <c r="AI36" s="75"/>
      <c r="AJ36" s="75"/>
      <c r="AK36" s="75"/>
      <c r="AL36" s="75"/>
      <c r="AM36" s="76"/>
      <c r="AQ36" s="77"/>
    </row>
    <row r="37" ht="21.9" customHeight="1" spans="1:43" x14ac:dyDescent="0.25">
      <c r="A37" s="62">
        <v>25</v>
      </c>
      <c r="B37" s="70"/>
      <c r="C37" s="71"/>
      <c r="D37" s="71"/>
      <c r="E37" s="71"/>
      <c r="F37" s="71"/>
      <c r="G37" s="62"/>
      <c r="H37" s="62"/>
      <c r="I37" s="62"/>
      <c r="J37" s="62"/>
      <c r="K37" s="62"/>
      <c r="L37" s="62"/>
      <c r="M37" s="62"/>
      <c r="N37" s="62"/>
      <c r="O37" s="62"/>
      <c r="P37" s="62"/>
      <c r="Q37" s="62"/>
      <c r="R37" s="62"/>
      <c r="S37" s="62"/>
      <c r="T37" s="62"/>
      <c r="U37" s="62"/>
      <c r="V37" s="62"/>
      <c r="W37" s="62"/>
      <c r="X37" s="62"/>
      <c r="Y37" s="62"/>
      <c r="Z37" s="62"/>
      <c r="AA37" s="62"/>
      <c r="AB37" s="62"/>
      <c r="AC37" s="62"/>
      <c r="AD37" s="62"/>
      <c r="AE37" s="62"/>
      <c r="AF37" s="72"/>
      <c r="AG37" s="73"/>
      <c r="AH37" s="74"/>
      <c r="AI37" s="75"/>
      <c r="AJ37" s="75"/>
      <c r="AK37" s="75"/>
      <c r="AL37" s="75"/>
      <c r="AM37" s="76"/>
      <c r="AQ37" s="77"/>
    </row>
    <row r="38" ht="21.9" customHeight="1" spans="1:43" x14ac:dyDescent="0.25">
      <c r="A38" s="62">
        <v>26</v>
      </c>
      <c r="B38" s="70"/>
      <c r="C38" s="71"/>
      <c r="D38" s="71"/>
      <c r="E38" s="71"/>
      <c r="F38" s="71"/>
      <c r="G38" s="62"/>
      <c r="H38" s="62"/>
      <c r="I38" s="62"/>
      <c r="J38" s="62"/>
      <c r="K38" s="62"/>
      <c r="L38" s="62"/>
      <c r="M38" s="62"/>
      <c r="N38" s="62"/>
      <c r="O38" s="62"/>
      <c r="P38" s="62"/>
      <c r="Q38" s="62"/>
      <c r="R38" s="62"/>
      <c r="S38" s="62"/>
      <c r="T38" s="62"/>
      <c r="U38" s="62"/>
      <c r="V38" s="62"/>
      <c r="W38" s="62"/>
      <c r="X38" s="62"/>
      <c r="Y38" s="62"/>
      <c r="Z38" s="62"/>
      <c r="AA38" s="62"/>
      <c r="AB38" s="62"/>
      <c r="AC38" s="62"/>
      <c r="AD38" s="62"/>
      <c r="AE38" s="62"/>
      <c r="AF38" s="72"/>
      <c r="AG38" s="73"/>
      <c r="AH38" s="74"/>
      <c r="AI38" s="75"/>
      <c r="AJ38" s="75"/>
      <c r="AK38" s="75"/>
      <c r="AL38" s="75"/>
      <c r="AM38" s="76"/>
      <c r="AQ38" s="77"/>
    </row>
    <row r="39" ht="21.9" customHeight="1" spans="1:43" x14ac:dyDescent="0.25">
      <c r="A39" s="62">
        <v>27</v>
      </c>
      <c r="B39" s="70"/>
      <c r="C39" s="71"/>
      <c r="D39" s="71"/>
      <c r="E39" s="71"/>
      <c r="F39" s="71"/>
      <c r="G39" s="62"/>
      <c r="H39" s="62"/>
      <c r="I39" s="62"/>
      <c r="J39" s="62"/>
      <c r="K39" s="62"/>
      <c r="L39" s="62"/>
      <c r="M39" s="62"/>
      <c r="N39" s="62"/>
      <c r="O39" s="62"/>
      <c r="P39" s="62"/>
      <c r="Q39" s="62"/>
      <c r="R39" s="62"/>
      <c r="S39" s="62"/>
      <c r="T39" s="62"/>
      <c r="U39" s="62"/>
      <c r="V39" s="62"/>
      <c r="W39" s="62"/>
      <c r="X39" s="62"/>
      <c r="Y39" s="62"/>
      <c r="Z39" s="62"/>
      <c r="AA39" s="62"/>
      <c r="AB39" s="62"/>
      <c r="AC39" s="62"/>
      <c r="AD39" s="62"/>
      <c r="AE39" s="62"/>
      <c r="AF39" s="72"/>
      <c r="AG39" s="73"/>
      <c r="AH39" s="74"/>
      <c r="AI39" s="75"/>
      <c r="AJ39" s="75"/>
      <c r="AK39" s="75"/>
      <c r="AL39" s="75"/>
      <c r="AM39" s="76"/>
      <c r="AQ39" s="77"/>
    </row>
    <row r="40" ht="21.9" customHeight="1" spans="1:43" x14ac:dyDescent="0.25">
      <c r="A40" s="62">
        <v>28</v>
      </c>
      <c r="B40" s="70"/>
      <c r="C40" s="71"/>
      <c r="D40" s="71"/>
      <c r="E40" s="71"/>
      <c r="F40" s="71"/>
      <c r="G40" s="62"/>
      <c r="H40" s="62"/>
      <c r="I40" s="62"/>
      <c r="J40" s="62"/>
      <c r="K40" s="62"/>
      <c r="L40" s="62"/>
      <c r="M40" s="62"/>
      <c r="N40" s="62"/>
      <c r="O40" s="62"/>
      <c r="P40" s="62"/>
      <c r="Q40" s="62"/>
      <c r="R40" s="62"/>
      <c r="S40" s="62"/>
      <c r="T40" s="62"/>
      <c r="U40" s="62"/>
      <c r="V40" s="62"/>
      <c r="W40" s="62"/>
      <c r="X40" s="62"/>
      <c r="Y40" s="62"/>
      <c r="Z40" s="62"/>
      <c r="AA40" s="62"/>
      <c r="AB40" s="62"/>
      <c r="AC40" s="62"/>
      <c r="AD40" s="62"/>
      <c r="AE40" s="62"/>
      <c r="AF40" s="72"/>
      <c r="AG40" s="73"/>
      <c r="AH40" s="74"/>
      <c r="AI40" s="75"/>
      <c r="AJ40" s="75"/>
      <c r="AK40" s="75"/>
      <c r="AL40" s="75"/>
      <c r="AM40" s="76"/>
      <c r="AQ40" s="77"/>
    </row>
    <row r="41" ht="21.9" customHeight="1" spans="1:43" x14ac:dyDescent="0.25">
      <c r="A41" s="62">
        <v>29</v>
      </c>
      <c r="B41" s="70"/>
      <c r="C41" s="71"/>
      <c r="D41" s="71"/>
      <c r="E41" s="71"/>
      <c r="F41" s="71"/>
      <c r="G41" s="62"/>
      <c r="H41" s="62"/>
      <c r="I41" s="62"/>
      <c r="J41" s="62"/>
      <c r="K41" s="62"/>
      <c r="L41" s="62"/>
      <c r="M41" s="62"/>
      <c r="N41" s="62"/>
      <c r="O41" s="62"/>
      <c r="P41" s="62"/>
      <c r="Q41" s="62"/>
      <c r="R41" s="62"/>
      <c r="S41" s="62"/>
      <c r="T41" s="62"/>
      <c r="U41" s="62"/>
      <c r="V41" s="62"/>
      <c r="W41" s="62"/>
      <c r="X41" s="62"/>
      <c r="Y41" s="62"/>
      <c r="Z41" s="62"/>
      <c r="AA41" s="62"/>
      <c r="AB41" s="62"/>
      <c r="AC41" s="62"/>
      <c r="AD41" s="62"/>
      <c r="AE41" s="62"/>
      <c r="AF41" s="72">
        <f t="shared" ref="AF41:AF62" si="2">IF(B41="","",COUNTIF(G41:AE41,"x")+COUNTIF(G41:AE41,"h")*0.5)</f>
      </c>
      <c r="AG41" s="73">
        <f t="shared" ref="AG41:AG62" si="3">IF(B41="","",$AJ$117-AF41)</f>
      </c>
      <c r="AH41" s="74"/>
      <c r="AI41" s="75"/>
      <c r="AJ41" s="75"/>
      <c r="AK41" s="75"/>
      <c r="AL41" s="75"/>
      <c r="AM41" s="76"/>
      <c r="AQ41" s="77"/>
    </row>
    <row r="42" ht="21.9" customHeight="1" spans="1:43" x14ac:dyDescent="0.25">
      <c r="A42" s="62">
        <v>30</v>
      </c>
      <c r="B42" s="70"/>
      <c r="C42" s="71"/>
      <c r="D42" s="71"/>
      <c r="E42" s="71"/>
      <c r="F42" s="71"/>
      <c r="G42" s="62"/>
      <c r="H42" s="62"/>
      <c r="I42" s="62"/>
      <c r="J42" s="62"/>
      <c r="K42" s="62"/>
      <c r="L42" s="62"/>
      <c r="M42" s="62"/>
      <c r="N42" s="62"/>
      <c r="O42" s="62"/>
      <c r="P42" s="62"/>
      <c r="Q42" s="62"/>
      <c r="R42" s="62"/>
      <c r="S42" s="62"/>
      <c r="T42" s="62"/>
      <c r="U42" s="62"/>
      <c r="V42" s="62"/>
      <c r="W42" s="62"/>
      <c r="X42" s="62"/>
      <c r="Y42" s="62"/>
      <c r="Z42" s="62"/>
      <c r="AA42" s="62"/>
      <c r="AB42" s="62"/>
      <c r="AC42" s="62"/>
      <c r="AD42" s="62"/>
      <c r="AE42" s="62"/>
      <c r="AF42" s="72">
        <f t="shared" si="2"/>
      </c>
      <c r="AG42" s="73">
        <f t="shared" si="3"/>
      </c>
      <c r="AH42" s="74"/>
      <c r="AI42" s="75"/>
      <c r="AJ42" s="75"/>
      <c r="AK42" s="75"/>
      <c r="AL42" s="75"/>
      <c r="AM42" s="76"/>
      <c r="AQ42" s="77"/>
    </row>
    <row r="43" ht="21.9" customHeight="1" spans="1:43" x14ac:dyDescent="0.25">
      <c r="A43" s="62">
        <v>31</v>
      </c>
      <c r="B43" s="70"/>
      <c r="C43" s="71"/>
      <c r="D43" s="71"/>
      <c r="E43" s="71"/>
      <c r="F43" s="71"/>
      <c r="G43" s="62"/>
      <c r="H43" s="62"/>
      <c r="I43" s="62"/>
      <c r="J43" s="62"/>
      <c r="K43" s="62"/>
      <c r="L43" s="62"/>
      <c r="M43" s="62"/>
      <c r="N43" s="62"/>
      <c r="O43" s="62"/>
      <c r="P43" s="62"/>
      <c r="Q43" s="62"/>
      <c r="R43" s="62"/>
      <c r="S43" s="62"/>
      <c r="T43" s="62"/>
      <c r="U43" s="62"/>
      <c r="V43" s="62"/>
      <c r="W43" s="62"/>
      <c r="X43" s="62"/>
      <c r="Y43" s="62"/>
      <c r="Z43" s="62"/>
      <c r="AA43" s="62"/>
      <c r="AB43" s="62"/>
      <c r="AC43" s="62"/>
      <c r="AD43" s="62"/>
      <c r="AE43" s="62"/>
      <c r="AF43" s="72">
        <f t="shared" si="2"/>
      </c>
      <c r="AG43" s="73">
        <f t="shared" si="3"/>
      </c>
      <c r="AH43" s="74"/>
      <c r="AI43" s="75"/>
      <c r="AJ43" s="75"/>
      <c r="AK43" s="75"/>
      <c r="AL43" s="75"/>
      <c r="AM43" s="76"/>
      <c r="AQ43" s="77"/>
    </row>
    <row r="44" ht="21.9" customHeight="1" spans="1:43" x14ac:dyDescent="0.25">
      <c r="A44" s="62">
        <v>32</v>
      </c>
      <c r="B44" s="70"/>
      <c r="C44" s="71"/>
      <c r="D44" s="71"/>
      <c r="E44" s="71"/>
      <c r="F44" s="71"/>
      <c r="G44" s="62"/>
      <c r="H44" s="62"/>
      <c r="I44" s="62"/>
      <c r="J44" s="62"/>
      <c r="K44" s="62"/>
      <c r="L44" s="62"/>
      <c r="M44" s="62"/>
      <c r="N44" s="62"/>
      <c r="O44" s="62"/>
      <c r="P44" s="62"/>
      <c r="Q44" s="62"/>
      <c r="R44" s="62"/>
      <c r="S44" s="62"/>
      <c r="T44" s="62"/>
      <c r="U44" s="62"/>
      <c r="V44" s="62"/>
      <c r="W44" s="62"/>
      <c r="X44" s="62"/>
      <c r="Y44" s="62"/>
      <c r="Z44" s="62"/>
      <c r="AA44" s="62"/>
      <c r="AB44" s="62"/>
      <c r="AC44" s="62"/>
      <c r="AD44" s="62"/>
      <c r="AE44" s="62"/>
      <c r="AF44" s="72">
        <f t="shared" si="2"/>
      </c>
      <c r="AG44" s="73">
        <f t="shared" si="3"/>
      </c>
      <c r="AH44" s="74"/>
      <c r="AI44" s="75"/>
      <c r="AJ44" s="75"/>
      <c r="AK44" s="75"/>
      <c r="AL44" s="75"/>
      <c r="AM44" s="76"/>
      <c r="AQ44" s="77"/>
    </row>
    <row r="45" ht="21.9" customHeight="1" spans="1:43" x14ac:dyDescent="0.25">
      <c r="A45" s="62">
        <v>33</v>
      </c>
      <c r="B45" s="70"/>
      <c r="C45" s="71"/>
      <c r="D45" s="71"/>
      <c r="E45" s="71"/>
      <c r="F45" s="71"/>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72">
        <f t="shared" si="2"/>
      </c>
      <c r="AG45" s="73">
        <f t="shared" si="3"/>
      </c>
      <c r="AH45" s="74"/>
      <c r="AI45" s="75"/>
      <c r="AJ45" s="75"/>
      <c r="AK45" s="75"/>
      <c r="AL45" s="75"/>
      <c r="AM45" s="76"/>
      <c r="AQ45" s="77"/>
    </row>
    <row r="46" ht="21.9" customHeight="1" spans="1:43" x14ac:dyDescent="0.25">
      <c r="A46" s="62">
        <v>34</v>
      </c>
      <c r="B46" s="70"/>
      <c r="C46" s="71"/>
      <c r="D46" s="71"/>
      <c r="E46" s="71"/>
      <c r="F46" s="71"/>
      <c r="G46" s="62"/>
      <c r="H46" s="62"/>
      <c r="I46" s="62"/>
      <c r="J46" s="62"/>
      <c r="K46" s="62"/>
      <c r="L46" s="62"/>
      <c r="M46" s="62"/>
      <c r="N46" s="62"/>
      <c r="O46" s="62"/>
      <c r="P46" s="62"/>
      <c r="Q46" s="62"/>
      <c r="R46" s="62"/>
      <c r="S46" s="62"/>
      <c r="T46" s="62"/>
      <c r="U46" s="62"/>
      <c r="V46" s="62"/>
      <c r="W46" s="62"/>
      <c r="X46" s="62"/>
      <c r="Y46" s="62"/>
      <c r="Z46" s="62"/>
      <c r="AA46" s="62"/>
      <c r="AB46" s="62"/>
      <c r="AC46" s="62"/>
      <c r="AD46" s="62"/>
      <c r="AE46" s="62"/>
      <c r="AF46" s="72">
        <f t="shared" si="2"/>
      </c>
      <c r="AG46" s="73">
        <f t="shared" si="3"/>
      </c>
      <c r="AH46" s="74"/>
      <c r="AI46" s="75"/>
      <c r="AJ46" s="75"/>
      <c r="AK46" s="75"/>
      <c r="AL46" s="75"/>
      <c r="AM46" s="76"/>
      <c r="AQ46" s="77"/>
    </row>
    <row r="47" ht="21.9" customHeight="1" spans="1:43" x14ac:dyDescent="0.25">
      <c r="A47" s="62">
        <v>35</v>
      </c>
      <c r="B47" s="70"/>
      <c r="C47" s="71"/>
      <c r="D47" s="71"/>
      <c r="E47" s="71"/>
      <c r="F47" s="71"/>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72">
        <f t="shared" si="2"/>
      </c>
      <c r="AG47" s="73">
        <f t="shared" si="3"/>
      </c>
      <c r="AH47" s="74"/>
      <c r="AI47" s="75"/>
      <c r="AJ47" s="75"/>
      <c r="AK47" s="75"/>
      <c r="AL47" s="75"/>
      <c r="AM47" s="76"/>
      <c r="AQ47" s="77"/>
    </row>
    <row r="48" ht="21.9" customHeight="1" spans="1:43" x14ac:dyDescent="0.25">
      <c r="A48" s="62">
        <v>36</v>
      </c>
      <c r="B48" s="70"/>
      <c r="C48" s="71"/>
      <c r="D48" s="71"/>
      <c r="E48" s="71"/>
      <c r="F48" s="71"/>
      <c r="G48" s="62"/>
      <c r="H48" s="62"/>
      <c r="I48" s="62"/>
      <c r="J48" s="62"/>
      <c r="K48" s="62"/>
      <c r="L48" s="62"/>
      <c r="M48" s="62"/>
      <c r="N48" s="62"/>
      <c r="O48" s="62"/>
      <c r="P48" s="62"/>
      <c r="Q48" s="62"/>
      <c r="R48" s="62"/>
      <c r="S48" s="62"/>
      <c r="T48" s="62"/>
      <c r="U48" s="62"/>
      <c r="V48" s="62"/>
      <c r="W48" s="62"/>
      <c r="X48" s="62"/>
      <c r="Y48" s="62"/>
      <c r="Z48" s="62"/>
      <c r="AA48" s="62"/>
      <c r="AB48" s="62"/>
      <c r="AC48" s="62"/>
      <c r="AD48" s="62"/>
      <c r="AE48" s="62"/>
      <c r="AF48" s="72">
        <f t="shared" si="2"/>
      </c>
      <c r="AG48" s="73">
        <f t="shared" si="3"/>
      </c>
      <c r="AH48" s="74"/>
      <c r="AI48" s="75"/>
      <c r="AJ48" s="75"/>
      <c r="AK48" s="75"/>
      <c r="AL48" s="75"/>
      <c r="AM48" s="76"/>
      <c r="AQ48" s="77"/>
    </row>
    <row r="49" ht="21.9" customHeight="1" spans="1:43" x14ac:dyDescent="0.25">
      <c r="A49" s="62">
        <v>37</v>
      </c>
      <c r="B49" s="70"/>
      <c r="C49" s="71"/>
      <c r="D49" s="71"/>
      <c r="E49" s="71"/>
      <c r="F49" s="71"/>
      <c r="G49" s="62"/>
      <c r="H49" s="62"/>
      <c r="I49" s="62"/>
      <c r="J49" s="62"/>
      <c r="K49" s="62"/>
      <c r="L49" s="62"/>
      <c r="M49" s="62"/>
      <c r="N49" s="62"/>
      <c r="O49" s="62"/>
      <c r="P49" s="62"/>
      <c r="Q49" s="62"/>
      <c r="R49" s="62"/>
      <c r="S49" s="62"/>
      <c r="T49" s="62"/>
      <c r="U49" s="62"/>
      <c r="V49" s="62"/>
      <c r="W49" s="62"/>
      <c r="X49" s="62"/>
      <c r="Y49" s="62"/>
      <c r="Z49" s="62"/>
      <c r="AA49" s="62"/>
      <c r="AB49" s="62"/>
      <c r="AC49" s="62"/>
      <c r="AD49" s="62"/>
      <c r="AE49" s="62"/>
      <c r="AF49" s="72">
        <f t="shared" si="2"/>
      </c>
      <c r="AG49" s="73">
        <f t="shared" si="3"/>
      </c>
      <c r="AH49" s="74"/>
      <c r="AI49" s="75"/>
      <c r="AJ49" s="75"/>
      <c r="AK49" s="75"/>
      <c r="AL49" s="75"/>
      <c r="AM49" s="76"/>
      <c r="AQ49" s="77"/>
    </row>
    <row r="50" ht="21.9" customHeight="1" spans="1:43" x14ac:dyDescent="0.25">
      <c r="A50" s="62">
        <v>38</v>
      </c>
      <c r="B50" s="70"/>
      <c r="C50" s="71"/>
      <c r="D50" s="71"/>
      <c r="E50" s="71"/>
      <c r="F50" s="71"/>
      <c r="G50" s="62"/>
      <c r="H50" s="62"/>
      <c r="I50" s="62"/>
      <c r="J50" s="62"/>
      <c r="K50" s="62"/>
      <c r="L50" s="62"/>
      <c r="M50" s="62"/>
      <c r="N50" s="62"/>
      <c r="O50" s="62"/>
      <c r="P50" s="62"/>
      <c r="Q50" s="62"/>
      <c r="R50" s="62"/>
      <c r="S50" s="62"/>
      <c r="T50" s="62"/>
      <c r="U50" s="62"/>
      <c r="V50" s="62"/>
      <c r="W50" s="62"/>
      <c r="X50" s="62"/>
      <c r="Y50" s="62"/>
      <c r="Z50" s="62"/>
      <c r="AA50" s="62"/>
      <c r="AB50" s="62"/>
      <c r="AC50" s="62"/>
      <c r="AD50" s="62"/>
      <c r="AE50" s="62"/>
      <c r="AF50" s="72">
        <f t="shared" si="2"/>
      </c>
      <c r="AG50" s="73">
        <f t="shared" si="3"/>
      </c>
      <c r="AH50" s="74"/>
      <c r="AI50" s="75"/>
      <c r="AJ50" s="75"/>
      <c r="AK50" s="75"/>
      <c r="AL50" s="75"/>
      <c r="AM50" s="76"/>
      <c r="AQ50" s="77"/>
    </row>
    <row r="51" ht="21.9" customHeight="1" spans="1:43" x14ac:dyDescent="0.25">
      <c r="A51" s="62">
        <v>39</v>
      </c>
      <c r="B51" s="70"/>
      <c r="C51" s="71"/>
      <c r="D51" s="71"/>
      <c r="E51" s="71"/>
      <c r="F51" s="71"/>
      <c r="G51" s="62"/>
      <c r="H51" s="62"/>
      <c r="I51" s="62"/>
      <c r="J51" s="62"/>
      <c r="K51" s="62"/>
      <c r="L51" s="62"/>
      <c r="M51" s="62"/>
      <c r="N51" s="62"/>
      <c r="O51" s="62"/>
      <c r="P51" s="62"/>
      <c r="Q51" s="62"/>
      <c r="R51" s="62"/>
      <c r="S51" s="62"/>
      <c r="T51" s="62"/>
      <c r="U51" s="62"/>
      <c r="V51" s="62"/>
      <c r="W51" s="62"/>
      <c r="X51" s="62"/>
      <c r="Y51" s="62"/>
      <c r="Z51" s="62"/>
      <c r="AA51" s="62"/>
      <c r="AB51" s="62"/>
      <c r="AC51" s="62"/>
      <c r="AD51" s="62"/>
      <c r="AE51" s="62"/>
      <c r="AF51" s="72">
        <f t="shared" si="2"/>
      </c>
      <c r="AG51" s="73">
        <f t="shared" si="3"/>
      </c>
      <c r="AH51" s="74"/>
      <c r="AI51" s="75"/>
      <c r="AJ51" s="75"/>
      <c r="AK51" s="75"/>
      <c r="AL51" s="75"/>
      <c r="AM51" s="76"/>
      <c r="AQ51" s="77"/>
    </row>
    <row r="52" ht="21.9" customHeight="1" spans="1:43" x14ac:dyDescent="0.25">
      <c r="A52" s="62">
        <v>40</v>
      </c>
      <c r="B52" s="70"/>
      <c r="C52" s="71"/>
      <c r="D52" s="71"/>
      <c r="E52" s="71"/>
      <c r="F52" s="71"/>
      <c r="G52" s="62"/>
      <c r="H52" s="62"/>
      <c r="I52" s="62"/>
      <c r="J52" s="62"/>
      <c r="K52" s="62"/>
      <c r="L52" s="62"/>
      <c r="M52" s="62"/>
      <c r="N52" s="62"/>
      <c r="O52" s="62"/>
      <c r="P52" s="62"/>
      <c r="Q52" s="62"/>
      <c r="R52" s="62"/>
      <c r="S52" s="62"/>
      <c r="T52" s="62"/>
      <c r="U52" s="62"/>
      <c r="V52" s="62"/>
      <c r="W52" s="62"/>
      <c r="X52" s="62"/>
      <c r="Y52" s="62"/>
      <c r="Z52" s="62"/>
      <c r="AA52" s="62"/>
      <c r="AB52" s="62"/>
      <c r="AC52" s="62"/>
      <c r="AD52" s="62"/>
      <c r="AE52" s="62"/>
      <c r="AF52" s="72">
        <f t="shared" si="2"/>
      </c>
      <c r="AG52" s="73">
        <f t="shared" si="3"/>
      </c>
      <c r="AH52" s="74"/>
      <c r="AI52" s="75"/>
      <c r="AJ52" s="75"/>
      <c r="AK52" s="75"/>
      <c r="AL52" s="75"/>
      <c r="AM52" s="76"/>
      <c r="AQ52" s="77"/>
    </row>
    <row r="53" ht="21.9" customHeight="1" spans="1:43" x14ac:dyDescent="0.25">
      <c r="A53" s="62">
        <v>41</v>
      </c>
      <c r="B53" s="70"/>
      <c r="C53" s="71"/>
      <c r="D53" s="71"/>
      <c r="E53" s="71"/>
      <c r="F53" s="71"/>
      <c r="G53" s="62"/>
      <c r="H53" s="62"/>
      <c r="I53" s="62"/>
      <c r="J53" s="62"/>
      <c r="K53" s="62"/>
      <c r="L53" s="62"/>
      <c r="M53" s="62"/>
      <c r="N53" s="62"/>
      <c r="O53" s="62"/>
      <c r="P53" s="62"/>
      <c r="Q53" s="62"/>
      <c r="R53" s="62"/>
      <c r="S53" s="62"/>
      <c r="T53" s="62"/>
      <c r="U53" s="62"/>
      <c r="V53" s="62"/>
      <c r="W53" s="62"/>
      <c r="X53" s="62"/>
      <c r="Y53" s="62"/>
      <c r="Z53" s="62"/>
      <c r="AA53" s="62"/>
      <c r="AB53" s="62"/>
      <c r="AC53" s="62"/>
      <c r="AD53" s="62"/>
      <c r="AE53" s="62"/>
      <c r="AF53" s="72">
        <f t="shared" si="2"/>
      </c>
      <c r="AG53" s="73">
        <f t="shared" si="3"/>
      </c>
      <c r="AH53" s="74"/>
      <c r="AI53" s="75"/>
      <c r="AJ53" s="75"/>
      <c r="AK53" s="75"/>
      <c r="AL53" s="75"/>
      <c r="AM53" s="76"/>
      <c r="AQ53" s="77"/>
    </row>
    <row r="54" ht="21.9" customHeight="1" spans="1:43" x14ac:dyDescent="0.25">
      <c r="A54" s="62">
        <v>42</v>
      </c>
      <c r="B54" s="70"/>
      <c r="C54" s="71"/>
      <c r="D54" s="71"/>
      <c r="E54" s="71"/>
      <c r="F54" s="71"/>
      <c r="G54" s="62"/>
      <c r="H54" s="62"/>
      <c r="I54" s="62"/>
      <c r="J54" s="62"/>
      <c r="K54" s="62"/>
      <c r="L54" s="62"/>
      <c r="M54" s="62"/>
      <c r="N54" s="62"/>
      <c r="O54" s="62"/>
      <c r="P54" s="62"/>
      <c r="Q54" s="62"/>
      <c r="R54" s="62"/>
      <c r="S54" s="62"/>
      <c r="T54" s="62"/>
      <c r="U54" s="62"/>
      <c r="V54" s="62"/>
      <c r="W54" s="62"/>
      <c r="X54" s="62"/>
      <c r="Y54" s="62"/>
      <c r="Z54" s="62"/>
      <c r="AA54" s="62"/>
      <c r="AB54" s="62"/>
      <c r="AC54" s="62"/>
      <c r="AD54" s="62"/>
      <c r="AE54" s="62"/>
      <c r="AF54" s="72">
        <f t="shared" si="2"/>
      </c>
      <c r="AG54" s="73">
        <f t="shared" si="3"/>
      </c>
      <c r="AH54" s="74"/>
      <c r="AI54" s="75"/>
      <c r="AJ54" s="75"/>
      <c r="AK54" s="75"/>
      <c r="AL54" s="75"/>
      <c r="AM54" s="76"/>
      <c r="AQ54" s="77"/>
    </row>
    <row r="55" ht="21.9" customHeight="1" spans="1:43" x14ac:dyDescent="0.25">
      <c r="A55" s="62">
        <v>43</v>
      </c>
      <c r="B55" s="78"/>
      <c r="C55" s="75"/>
      <c r="D55" s="75"/>
      <c r="E55" s="75"/>
      <c r="F55" s="75"/>
      <c r="G55" s="62"/>
      <c r="H55" s="62"/>
      <c r="I55" s="62"/>
      <c r="J55" s="62"/>
      <c r="K55" s="62"/>
      <c r="L55" s="62"/>
      <c r="M55" s="62"/>
      <c r="N55" s="62"/>
      <c r="O55" s="62"/>
      <c r="P55" s="62"/>
      <c r="Q55" s="62"/>
      <c r="R55" s="62"/>
      <c r="S55" s="62"/>
      <c r="T55" s="62"/>
      <c r="U55" s="62"/>
      <c r="V55" s="62"/>
      <c r="W55" s="62"/>
      <c r="X55" s="62"/>
      <c r="Y55" s="62"/>
      <c r="Z55" s="62"/>
      <c r="AA55" s="62"/>
      <c r="AB55" s="62"/>
      <c r="AC55" s="62"/>
      <c r="AD55" s="62"/>
      <c r="AE55" s="62"/>
      <c r="AF55" s="72">
        <f t="shared" si="2"/>
      </c>
      <c r="AG55" s="73">
        <f t="shared" si="3"/>
      </c>
      <c r="AH55" s="74"/>
      <c r="AI55" s="75"/>
      <c r="AJ55" s="75"/>
      <c r="AK55" s="75"/>
      <c r="AL55" s="75"/>
      <c r="AM55" s="76"/>
      <c r="AQ55" s="77"/>
    </row>
    <row r="56" ht="21.9" customHeight="1" spans="1:43" x14ac:dyDescent="0.25">
      <c r="A56" s="62">
        <v>44</v>
      </c>
      <c r="B56" s="78"/>
      <c r="C56" s="75"/>
      <c r="D56" s="75"/>
      <c r="E56" s="75"/>
      <c r="F56" s="75"/>
      <c r="G56" s="62"/>
      <c r="H56" s="62"/>
      <c r="I56" s="62"/>
      <c r="J56" s="62"/>
      <c r="K56" s="62"/>
      <c r="L56" s="62"/>
      <c r="M56" s="62"/>
      <c r="N56" s="62"/>
      <c r="O56" s="62"/>
      <c r="P56" s="62"/>
      <c r="Q56" s="62"/>
      <c r="R56" s="62"/>
      <c r="S56" s="62"/>
      <c r="T56" s="62"/>
      <c r="U56" s="62"/>
      <c r="V56" s="62"/>
      <c r="W56" s="62"/>
      <c r="X56" s="62"/>
      <c r="Y56" s="62"/>
      <c r="Z56" s="62"/>
      <c r="AA56" s="62"/>
      <c r="AB56" s="62"/>
      <c r="AC56" s="62"/>
      <c r="AD56" s="62"/>
      <c r="AE56" s="62"/>
      <c r="AF56" s="72">
        <f t="shared" si="2"/>
      </c>
      <c r="AG56" s="73">
        <f t="shared" si="3"/>
      </c>
      <c r="AH56" s="74"/>
      <c r="AI56" s="75"/>
      <c r="AJ56" s="75"/>
      <c r="AK56" s="75"/>
      <c r="AL56" s="75"/>
      <c r="AM56" s="76"/>
      <c r="AQ56" s="77"/>
    </row>
    <row r="57" ht="21.9" customHeight="1" spans="1:43" x14ac:dyDescent="0.25">
      <c r="A57" s="62">
        <v>45</v>
      </c>
      <c r="B57" s="78"/>
      <c r="C57" s="75"/>
      <c r="D57" s="75"/>
      <c r="E57" s="75"/>
      <c r="F57" s="75"/>
      <c r="G57" s="62"/>
      <c r="H57" s="62"/>
      <c r="I57" s="62"/>
      <c r="J57" s="62"/>
      <c r="K57" s="62"/>
      <c r="L57" s="62"/>
      <c r="M57" s="62"/>
      <c r="N57" s="62"/>
      <c r="O57" s="62"/>
      <c r="P57" s="62"/>
      <c r="Q57" s="62"/>
      <c r="R57" s="62"/>
      <c r="S57" s="62"/>
      <c r="T57" s="62"/>
      <c r="U57" s="62"/>
      <c r="V57" s="62"/>
      <c r="W57" s="62"/>
      <c r="X57" s="62"/>
      <c r="Y57" s="62"/>
      <c r="Z57" s="62"/>
      <c r="AA57" s="62"/>
      <c r="AB57" s="62"/>
      <c r="AC57" s="62"/>
      <c r="AD57" s="62"/>
      <c r="AE57" s="62"/>
      <c r="AF57" s="72">
        <f t="shared" si="2"/>
      </c>
      <c r="AG57" s="73">
        <f t="shared" si="3"/>
      </c>
      <c r="AH57" s="74"/>
      <c r="AI57" s="75"/>
      <c r="AJ57" s="75"/>
      <c r="AK57" s="75"/>
      <c r="AL57" s="75"/>
      <c r="AM57" s="76"/>
      <c r="AQ57" s="77"/>
    </row>
    <row r="58" ht="21.9" customHeight="1" spans="1:43" x14ac:dyDescent="0.25">
      <c r="A58" s="62">
        <v>46</v>
      </c>
      <c r="B58" s="78"/>
      <c r="C58" s="75"/>
      <c r="D58" s="75"/>
      <c r="E58" s="75"/>
      <c r="F58" s="75"/>
      <c r="G58" s="62"/>
      <c r="H58" s="62"/>
      <c r="I58" s="62"/>
      <c r="J58" s="62"/>
      <c r="K58" s="62"/>
      <c r="L58" s="62"/>
      <c r="M58" s="62"/>
      <c r="N58" s="62"/>
      <c r="O58" s="62"/>
      <c r="P58" s="62"/>
      <c r="Q58" s="62"/>
      <c r="R58" s="62"/>
      <c r="S58" s="62"/>
      <c r="T58" s="62"/>
      <c r="U58" s="62"/>
      <c r="V58" s="62"/>
      <c r="W58" s="62"/>
      <c r="X58" s="62"/>
      <c r="Y58" s="62"/>
      <c r="Z58" s="62"/>
      <c r="AA58" s="62"/>
      <c r="AB58" s="62"/>
      <c r="AC58" s="62"/>
      <c r="AD58" s="62"/>
      <c r="AE58" s="62"/>
      <c r="AF58" s="72">
        <f t="shared" si="2"/>
      </c>
      <c r="AG58" s="73">
        <f t="shared" si="3"/>
      </c>
      <c r="AH58" s="74"/>
      <c r="AI58" s="75"/>
      <c r="AJ58" s="75"/>
      <c r="AK58" s="75"/>
      <c r="AL58" s="75"/>
      <c r="AM58" s="76"/>
      <c r="AQ58" s="77"/>
    </row>
    <row r="59" ht="21.9" customHeight="1" spans="1:43" x14ac:dyDescent="0.25">
      <c r="A59" s="62">
        <v>47</v>
      </c>
      <c r="B59" s="78"/>
      <c r="C59" s="79"/>
      <c r="D59" s="79"/>
      <c r="E59" s="79"/>
      <c r="F59" s="79"/>
      <c r="G59" s="80"/>
      <c r="H59" s="81"/>
      <c r="I59" s="81"/>
      <c r="J59" s="81"/>
      <c r="K59" s="82"/>
      <c r="L59" s="83"/>
      <c r="M59" s="81"/>
      <c r="N59" s="81"/>
      <c r="O59" s="81"/>
      <c r="P59" s="84"/>
      <c r="Q59" s="80"/>
      <c r="R59" s="81"/>
      <c r="S59" s="81"/>
      <c r="T59" s="81"/>
      <c r="U59" s="82"/>
      <c r="V59" s="83"/>
      <c r="W59" s="81"/>
      <c r="X59" s="81"/>
      <c r="Y59" s="81"/>
      <c r="Z59" s="84"/>
      <c r="AA59" s="80"/>
      <c r="AB59" s="81"/>
      <c r="AC59" s="81"/>
      <c r="AD59" s="84"/>
      <c r="AE59" s="82"/>
      <c r="AF59" s="72">
        <f t="shared" si="2"/>
      </c>
      <c r="AG59" s="73">
        <f t="shared" si="3"/>
      </c>
      <c r="AH59" s="74"/>
      <c r="AI59" s="75"/>
      <c r="AJ59" s="75"/>
      <c r="AK59" s="75"/>
      <c r="AL59" s="75"/>
      <c r="AM59" s="76"/>
      <c r="AQ59" s="77"/>
    </row>
    <row r="60" ht="21.9" customHeight="1" spans="1:43" x14ac:dyDescent="0.25">
      <c r="A60" s="62">
        <v>48</v>
      </c>
      <c r="B60" s="78"/>
      <c r="C60" s="79"/>
      <c r="D60" s="79"/>
      <c r="E60" s="79"/>
      <c r="F60" s="79"/>
      <c r="G60" s="80"/>
      <c r="H60" s="81"/>
      <c r="I60" s="81"/>
      <c r="J60" s="81"/>
      <c r="K60" s="82"/>
      <c r="L60" s="83"/>
      <c r="M60" s="81"/>
      <c r="N60" s="81"/>
      <c r="O60" s="81"/>
      <c r="P60" s="84"/>
      <c r="Q60" s="80"/>
      <c r="R60" s="81"/>
      <c r="S60" s="81"/>
      <c r="T60" s="81"/>
      <c r="U60" s="82"/>
      <c r="V60" s="83"/>
      <c r="W60" s="81"/>
      <c r="X60" s="81"/>
      <c r="Y60" s="81"/>
      <c r="Z60" s="84"/>
      <c r="AA60" s="80"/>
      <c r="AB60" s="81"/>
      <c r="AC60" s="81"/>
      <c r="AD60" s="84"/>
      <c r="AE60" s="82"/>
      <c r="AF60" s="72">
        <f t="shared" si="2"/>
      </c>
      <c r="AG60" s="73">
        <f t="shared" si="3"/>
      </c>
      <c r="AH60" s="74"/>
      <c r="AI60" s="75"/>
      <c r="AJ60" s="75"/>
      <c r="AK60" s="75"/>
      <c r="AL60" s="75"/>
      <c r="AM60" s="76"/>
      <c r="AQ60" s="77"/>
    </row>
    <row r="61" ht="21.9" customHeight="1" spans="1:43" x14ac:dyDescent="0.25">
      <c r="A61" s="62">
        <v>49</v>
      </c>
      <c r="B61" s="78"/>
      <c r="C61" s="79"/>
      <c r="D61" s="79"/>
      <c r="E61" s="79"/>
      <c r="F61" s="79"/>
      <c r="G61" s="80"/>
      <c r="H61" s="81"/>
      <c r="I61" s="81"/>
      <c r="J61" s="81"/>
      <c r="K61" s="82"/>
      <c r="L61" s="83"/>
      <c r="M61" s="81"/>
      <c r="N61" s="81"/>
      <c r="O61" s="81"/>
      <c r="P61" s="84"/>
      <c r="Q61" s="80"/>
      <c r="R61" s="81"/>
      <c r="S61" s="81"/>
      <c r="T61" s="81"/>
      <c r="U61" s="82"/>
      <c r="V61" s="83"/>
      <c r="W61" s="81"/>
      <c r="X61" s="81"/>
      <c r="Y61" s="81"/>
      <c r="Z61" s="84"/>
      <c r="AA61" s="80"/>
      <c r="AB61" s="81"/>
      <c r="AC61" s="81"/>
      <c r="AD61" s="84"/>
      <c r="AE61" s="82"/>
      <c r="AF61" s="72">
        <f t="shared" si="2"/>
      </c>
      <c r="AG61" s="73">
        <f t="shared" si="3"/>
      </c>
      <c r="AH61" s="74"/>
      <c r="AI61" s="75"/>
      <c r="AJ61" s="75"/>
      <c r="AK61" s="75"/>
      <c r="AL61" s="75"/>
      <c r="AM61" s="76"/>
      <c r="AQ61" s="77"/>
    </row>
    <row r="62" ht="21.9" customHeight="1" spans="1:43" x14ac:dyDescent="0.25">
      <c r="A62" s="80">
        <v>50</v>
      </c>
      <c r="B62" s="85"/>
      <c r="C62" s="79"/>
      <c r="D62" s="79"/>
      <c r="E62" s="79"/>
      <c r="F62" s="79"/>
      <c r="G62" s="80"/>
      <c r="H62" s="81"/>
      <c r="I62" s="81"/>
      <c r="J62" s="81"/>
      <c r="K62" s="82"/>
      <c r="L62" s="83"/>
      <c r="M62" s="81"/>
      <c r="N62" s="81"/>
      <c r="O62" s="81"/>
      <c r="P62" s="84"/>
      <c r="Q62" s="80"/>
      <c r="R62" s="81"/>
      <c r="S62" s="81"/>
      <c r="T62" s="81"/>
      <c r="U62" s="82"/>
      <c r="V62" s="83"/>
      <c r="W62" s="81"/>
      <c r="X62" s="81"/>
      <c r="Y62" s="81"/>
      <c r="Z62" s="84"/>
      <c r="AA62" s="80"/>
      <c r="AB62" s="81"/>
      <c r="AC62" s="81"/>
      <c r="AD62" s="84"/>
      <c r="AE62" s="82"/>
      <c r="AF62" s="72">
        <f t="shared" si="2"/>
      </c>
      <c r="AG62" s="73">
        <f t="shared" si="3"/>
      </c>
      <c r="AH62" s="74"/>
      <c r="AI62" s="75"/>
      <c r="AJ62" s="86"/>
      <c r="AK62" s="86"/>
      <c r="AL62" s="86"/>
      <c r="AM62" s="87"/>
      <c r="AQ62" s="77"/>
    </row>
    <row r="63" ht="21.9" customHeight="1" spans="1:43" x14ac:dyDescent="0.25">
      <c r="A63" s="88"/>
      <c r="B63" s="89" t="s">
        <v>36</v>
      </c>
      <c r="C63" s="89"/>
      <c r="D63" s="89"/>
      <c r="E63" s="89"/>
      <c r="F63" s="89"/>
      <c r="G63" s="90">
        <f t="shared" ref="G63:AE63" si="4">IF(G10="","",COUNTA($B$13:$B$62)-(COUNTIF(G13:G62,"x")*1+COUNTIF(G13:G62,"h")*0.5))</f>
        <v>0</v>
      </c>
      <c r="H63" s="91">
        <f t="shared" si="4"/>
        <v>0</v>
      </c>
      <c r="I63" s="91">
        <f t="shared" si="4"/>
        <v>0</v>
      </c>
      <c r="J63" s="91">
        <f t="shared" si="4"/>
        <v>0</v>
      </c>
      <c r="K63" s="92">
        <f t="shared" si="4"/>
        <v>0</v>
      </c>
      <c r="L63" s="90">
        <f t="shared" si="4"/>
        <v>0</v>
      </c>
      <c r="M63" s="91">
        <f t="shared" si="4"/>
        <v>0</v>
      </c>
      <c r="N63" s="91">
        <f t="shared" si="4"/>
        <v>0</v>
      </c>
      <c r="O63" s="91">
        <f t="shared" si="4"/>
        <v>0</v>
      </c>
      <c r="P63" s="92">
        <f t="shared" si="4"/>
        <v>0</v>
      </c>
      <c r="Q63" s="90">
        <f t="shared" si="4"/>
        <v>0</v>
      </c>
      <c r="R63" s="91">
        <f t="shared" si="4"/>
        <v>0</v>
      </c>
      <c r="S63" s="91">
        <f t="shared" si="4"/>
        <v>0</v>
      </c>
      <c r="T63" s="91">
        <f t="shared" si="4"/>
        <v>0</v>
      </c>
      <c r="U63" s="92">
        <f t="shared" si="4"/>
        <v>0</v>
      </c>
      <c r="V63" s="90">
        <f t="shared" si="4"/>
        <v>0</v>
      </c>
      <c r="W63" s="91">
        <f t="shared" si="4"/>
        <v>0</v>
      </c>
      <c r="X63" s="91">
        <f t="shared" si="4"/>
        <v>0</v>
      </c>
      <c r="Y63" s="91">
        <f t="shared" si="4"/>
        <v>0</v>
      </c>
      <c r="Z63" s="92">
        <f t="shared" si="4"/>
        <v>0</v>
      </c>
      <c r="AA63" s="90">
        <f t="shared" si="4"/>
        <v>0</v>
      </c>
      <c r="AB63" s="91">
        <f t="shared" si="4"/>
      </c>
      <c r="AC63" s="91">
        <f t="shared" si="4"/>
      </c>
      <c r="AD63" s="91">
        <f t="shared" si="4"/>
      </c>
      <c r="AE63" s="92">
        <f t="shared" si="4"/>
      </c>
      <c r="AF63" s="93">
        <f>SUM(AF13:AF62)</f>
        <v>0</v>
      </c>
      <c r="AG63" s="94">
        <f>SUM(AG13:AG62)</f>
        <v>0</v>
      </c>
      <c r="AH63" s="95"/>
      <c r="AI63" s="96"/>
      <c r="AJ63" s="96"/>
      <c r="AK63" s="96"/>
      <c r="AL63" s="96"/>
      <c r="AM63" s="97"/>
      <c r="AQ63" s="1"/>
    </row>
    <row r="64" ht="21.9" customHeight="1" spans="1:43" x14ac:dyDescent="0.25">
      <c r="A64" s="62">
        <v>1</v>
      </c>
      <c r="B64" s="63" t="s">
        <v>37</v>
      </c>
      <c r="C64" s="98"/>
      <c r="D64" s="98"/>
      <c r="E64" s="98"/>
      <c r="F64" s="98"/>
      <c r="G64" s="62" t="s">
        <v>24</v>
      </c>
      <c r="H64" s="62" t="s">
        <v>24</v>
      </c>
      <c r="I64" s="62" t="s">
        <v>24</v>
      </c>
      <c r="J64" s="62" t="s">
        <v>24</v>
      </c>
      <c r="K64" s="62" t="s">
        <v>24</v>
      </c>
      <c r="L64" s="62" t="s">
        <v>24</v>
      </c>
      <c r="M64" s="62" t="s">
        <v>24</v>
      </c>
      <c r="N64" s="62" t="s">
        <v>24</v>
      </c>
      <c r="O64" s="62" t="s">
        <v>24</v>
      </c>
      <c r="P64" s="62" t="s">
        <v>24</v>
      </c>
      <c r="Q64" s="62" t="s">
        <v>24</v>
      </c>
      <c r="R64" s="62" t="s">
        <v>24</v>
      </c>
      <c r="S64" s="62" t="s">
        <v>24</v>
      </c>
      <c r="T64" s="62" t="s">
        <v>24</v>
      </c>
      <c r="U64" s="62" t="s">
        <v>24</v>
      </c>
      <c r="V64" s="62" t="s">
        <v>24</v>
      </c>
      <c r="W64" s="62" t="s">
        <v>24</v>
      </c>
      <c r="X64" s="62" t="s">
        <v>24</v>
      </c>
      <c r="Y64" s="62" t="s">
        <v>24</v>
      </c>
      <c r="Z64" s="62" t="s">
        <v>24</v>
      </c>
      <c r="AA64" s="62" t="s">
        <v>24</v>
      </c>
      <c r="AB64" s="62"/>
      <c r="AC64" s="62"/>
      <c r="AD64" s="62"/>
      <c r="AE64" s="62"/>
      <c r="AF64" s="65">
        <f t="shared" ref="AF64:AF67" si="5">IF(B64="","",COUNTIF(G64:AE64,"x")+COUNTIF(G64:AE64,"h")*0.5)</f>
      </c>
      <c r="AG64" s="66">
        <f t="shared" ref="AG64:AG67" si="6">IF(B64="","",$AJ$117-AF64)</f>
      </c>
      <c r="AH64" s="67"/>
      <c r="AI64" s="64"/>
      <c r="AJ64" s="64"/>
      <c r="AK64" s="64"/>
      <c r="AL64" s="64"/>
      <c r="AM64" s="68"/>
      <c r="AQ64" s="99" t="s">
        <v>24</v>
      </c>
    </row>
    <row r="65" ht="21.9" customHeight="1" spans="1:43" x14ac:dyDescent="0.25">
      <c r="A65" s="62">
        <v>2</v>
      </c>
      <c r="B65" s="70" t="s">
        <v>38</v>
      </c>
      <c r="C65" s="75"/>
      <c r="D65" s="75"/>
      <c r="E65" s="75"/>
      <c r="F65" s="75"/>
      <c r="G65" s="62" t="s">
        <v>24</v>
      </c>
      <c r="H65" s="62" t="s">
        <v>24</v>
      </c>
      <c r="I65" s="62" t="s">
        <v>24</v>
      </c>
      <c r="J65" s="62" t="s">
        <v>24</v>
      </c>
      <c r="K65" s="62" t="s">
        <v>24</v>
      </c>
      <c r="L65" s="62" t="s">
        <v>24</v>
      </c>
      <c r="M65" s="62" t="s">
        <v>24</v>
      </c>
      <c r="N65" s="62" t="s">
        <v>24</v>
      </c>
      <c r="O65" s="62" t="s">
        <v>24</v>
      </c>
      <c r="P65" s="62" t="s">
        <v>24</v>
      </c>
      <c r="Q65" s="62" t="s">
        <v>24</v>
      </c>
      <c r="R65" s="62" t="s">
        <v>24</v>
      </c>
      <c r="S65" s="62" t="s">
        <v>24</v>
      </c>
      <c r="T65" s="62" t="s">
        <v>24</v>
      </c>
      <c r="U65" s="62" t="s">
        <v>24</v>
      </c>
      <c r="V65" s="62" t="s">
        <v>24</v>
      </c>
      <c r="W65" s="62" t="s">
        <v>24</v>
      </c>
      <c r="X65" s="62" t="s">
        <v>24</v>
      </c>
      <c r="Y65" s="62" t="s">
        <v>24</v>
      </c>
      <c r="Z65" s="62" t="s">
        <v>24</v>
      </c>
      <c r="AA65" s="62" t="s">
        <v>24</v>
      </c>
      <c r="AB65" s="62"/>
      <c r="AC65" s="62"/>
      <c r="AD65" s="62"/>
      <c r="AE65" s="62"/>
      <c r="AF65" s="72">
        <f t="shared" si="5"/>
      </c>
      <c r="AG65" s="73">
        <f t="shared" si="6"/>
      </c>
      <c r="AH65" s="74"/>
      <c r="AI65" s="75"/>
      <c r="AJ65" s="75"/>
      <c r="AK65" s="75"/>
      <c r="AL65" s="75"/>
      <c r="AM65" s="76"/>
      <c r="AQ65" s="99" t="s">
        <v>24</v>
      </c>
    </row>
    <row r="66" ht="21.9" customHeight="1" spans="1:43" x14ac:dyDescent="0.25">
      <c r="A66" s="62">
        <v>3</v>
      </c>
      <c r="B66" s="70" t="s">
        <v>39</v>
      </c>
      <c r="C66" s="75"/>
      <c r="D66" s="75"/>
      <c r="E66" s="75"/>
      <c r="F66" s="75"/>
      <c r="G66" s="62" t="s">
        <v>24</v>
      </c>
      <c r="H66" s="62" t="s">
        <v>24</v>
      </c>
      <c r="I66" s="62" t="s">
        <v>24</v>
      </c>
      <c r="J66" s="62" t="s">
        <v>24</v>
      </c>
      <c r="K66" s="62" t="s">
        <v>24</v>
      </c>
      <c r="L66" s="62" t="s">
        <v>24</v>
      </c>
      <c r="M66" s="62" t="s">
        <v>24</v>
      </c>
      <c r="N66" s="62" t="s">
        <v>24</v>
      </c>
      <c r="O66" s="62" t="s">
        <v>24</v>
      </c>
      <c r="P66" s="62" t="s">
        <v>24</v>
      </c>
      <c r="Q66" s="62" t="s">
        <v>24</v>
      </c>
      <c r="R66" s="62" t="s">
        <v>24</v>
      </c>
      <c r="S66" s="62" t="s">
        <v>24</v>
      </c>
      <c r="T66" s="62" t="s">
        <v>24</v>
      </c>
      <c r="U66" s="62" t="s">
        <v>24</v>
      </c>
      <c r="V66" s="62" t="s">
        <v>24</v>
      </c>
      <c r="W66" s="62" t="s">
        <v>24</v>
      </c>
      <c r="X66" s="62" t="s">
        <v>24</v>
      </c>
      <c r="Y66" s="62" t="s">
        <v>24</v>
      </c>
      <c r="Z66" s="62" t="s">
        <v>24</v>
      </c>
      <c r="AA66" s="62" t="s">
        <v>24</v>
      </c>
      <c r="AB66" s="62"/>
      <c r="AC66" s="62"/>
      <c r="AD66" s="62"/>
      <c r="AE66" s="62"/>
      <c r="AF66" s="72">
        <f t="shared" si="5"/>
      </c>
      <c r="AG66" s="73">
        <f t="shared" si="6"/>
      </c>
      <c r="AH66" s="74"/>
      <c r="AI66" s="75"/>
      <c r="AJ66" s="75"/>
      <c r="AK66" s="75"/>
      <c r="AL66" s="75"/>
      <c r="AM66" s="76"/>
      <c r="AQ66" s="99" t="s">
        <v>24</v>
      </c>
    </row>
    <row r="67" ht="21.9" customHeight="1" spans="1:43" x14ac:dyDescent="0.25">
      <c r="A67" s="62">
        <v>4</v>
      </c>
      <c r="B67" s="70" t="s">
        <v>40</v>
      </c>
      <c r="C67" s="75"/>
      <c r="D67" s="75"/>
      <c r="E67" s="75"/>
      <c r="F67" s="75"/>
      <c r="G67" s="62" t="s">
        <v>24</v>
      </c>
      <c r="H67" s="62" t="s">
        <v>24</v>
      </c>
      <c r="I67" s="62" t="s">
        <v>24</v>
      </c>
      <c r="J67" s="62" t="s">
        <v>24</v>
      </c>
      <c r="K67" s="62" t="s">
        <v>24</v>
      </c>
      <c r="L67" s="62" t="s">
        <v>24</v>
      </c>
      <c r="M67" s="62" t="s">
        <v>24</v>
      </c>
      <c r="N67" s="62" t="s">
        <v>24</v>
      </c>
      <c r="O67" s="62" t="s">
        <v>24</v>
      </c>
      <c r="P67" s="62" t="s">
        <v>24</v>
      </c>
      <c r="Q67" s="62" t="s">
        <v>24</v>
      </c>
      <c r="R67" s="62" t="s">
        <v>24</v>
      </c>
      <c r="S67" s="62" t="s">
        <v>24</v>
      </c>
      <c r="T67" s="62" t="s">
        <v>24</v>
      </c>
      <c r="U67" s="62" t="s">
        <v>24</v>
      </c>
      <c r="V67" s="62" t="s">
        <v>24</v>
      </c>
      <c r="W67" s="62" t="s">
        <v>24</v>
      </c>
      <c r="X67" s="62" t="s">
        <v>24</v>
      </c>
      <c r="Y67" s="62" t="s">
        <v>24</v>
      </c>
      <c r="Z67" s="62" t="s">
        <v>24</v>
      </c>
      <c r="AA67" s="62" t="s">
        <v>24</v>
      </c>
      <c r="AB67" s="62"/>
      <c r="AC67" s="62"/>
      <c r="AD67" s="62"/>
      <c r="AE67" s="62"/>
      <c r="AF67" s="72">
        <f t="shared" si="5"/>
      </c>
      <c r="AG67" s="73">
        <f t="shared" si="6"/>
      </c>
      <c r="AH67" s="74"/>
      <c r="AI67" s="75"/>
      <c r="AJ67" s="75"/>
      <c r="AK67" s="75"/>
      <c r="AL67" s="75"/>
      <c r="AM67" s="76"/>
      <c r="AQ67" s="99" t="s">
        <v>24</v>
      </c>
    </row>
    <row r="68" ht="21.9" customHeight="1" spans="1:43" x14ac:dyDescent="0.25">
      <c r="A68" s="62">
        <v>5</v>
      </c>
      <c r="B68" s="70" t="s">
        <v>41</v>
      </c>
      <c r="C68" s="75"/>
      <c r="D68" s="75"/>
      <c r="E68" s="75"/>
      <c r="F68" s="75"/>
      <c r="G68" s="62" t="s">
        <v>24</v>
      </c>
      <c r="H68" s="62" t="s">
        <v>24</v>
      </c>
      <c r="I68" s="62" t="s">
        <v>24</v>
      </c>
      <c r="J68" s="62" t="s">
        <v>24</v>
      </c>
      <c r="K68" s="62" t="s">
        <v>24</v>
      </c>
      <c r="L68" s="62" t="s">
        <v>24</v>
      </c>
      <c r="M68" s="62" t="s">
        <v>24</v>
      </c>
      <c r="N68" s="62" t="s">
        <v>24</v>
      </c>
      <c r="O68" s="62" t="s">
        <v>24</v>
      </c>
      <c r="P68" s="62" t="s">
        <v>24</v>
      </c>
      <c r="Q68" s="62" t="s">
        <v>24</v>
      </c>
      <c r="R68" s="62" t="s">
        <v>24</v>
      </c>
      <c r="S68" s="62" t="s">
        <v>24</v>
      </c>
      <c r="T68" s="62" t="s">
        <v>24</v>
      </c>
      <c r="U68" s="62" t="s">
        <v>24</v>
      </c>
      <c r="V68" s="62" t="s">
        <v>24</v>
      </c>
      <c r="W68" s="62" t="s">
        <v>24</v>
      </c>
      <c r="X68" s="62" t="s">
        <v>24</v>
      </c>
      <c r="Y68" s="62" t="s">
        <v>24</v>
      </c>
      <c r="Z68" s="62" t="s">
        <v>24</v>
      </c>
      <c r="AA68" s="62" t="s">
        <v>24</v>
      </c>
      <c r="AB68" s="62"/>
      <c r="AC68" s="62"/>
      <c r="AD68" s="62"/>
      <c r="AE68" s="62"/>
      <c r="AF68" s="72"/>
      <c r="AG68" s="73"/>
      <c r="AH68" s="74"/>
      <c r="AI68" s="75"/>
      <c r="AJ68" s="75"/>
      <c r="AK68" s="75"/>
      <c r="AL68" s="75"/>
      <c r="AM68" s="76"/>
      <c r="AQ68" s="99" t="s">
        <v>24</v>
      </c>
    </row>
    <row r="69" ht="21.9" customHeight="1" spans="1:43" x14ac:dyDescent="0.25">
      <c r="A69" s="62">
        <v>6</v>
      </c>
      <c r="B69" s="70"/>
      <c r="C69" s="75"/>
      <c r="D69" s="75"/>
      <c r="E69" s="75"/>
      <c r="F69" s="75"/>
      <c r="G69" s="62"/>
      <c r="H69" s="62"/>
      <c r="I69" s="62"/>
      <c r="J69" s="62"/>
      <c r="K69" s="62"/>
      <c r="L69" s="62"/>
      <c r="M69" s="62"/>
      <c r="N69" s="62"/>
      <c r="O69" s="62"/>
      <c r="P69" s="62"/>
      <c r="Q69" s="62"/>
      <c r="R69" s="62"/>
      <c r="S69" s="62"/>
      <c r="T69" s="62"/>
      <c r="U69" s="62"/>
      <c r="V69" s="62"/>
      <c r="W69" s="62"/>
      <c r="X69" s="62"/>
      <c r="Y69" s="62"/>
      <c r="Z69" s="62"/>
      <c r="AA69" s="62"/>
      <c r="AB69" s="62"/>
      <c r="AC69" s="62"/>
      <c r="AD69" s="62"/>
      <c r="AE69" s="62"/>
      <c r="AF69" s="72"/>
      <c r="AG69" s="73"/>
      <c r="AH69" s="74"/>
      <c r="AI69" s="75"/>
      <c r="AJ69" s="75"/>
      <c r="AK69" s="75"/>
      <c r="AL69" s="75"/>
      <c r="AM69" s="76"/>
      <c r="AQ69" s="77"/>
    </row>
    <row r="70" ht="21.9" customHeight="1" spans="1:43" x14ac:dyDescent="0.25">
      <c r="A70" s="62">
        <v>7</v>
      </c>
      <c r="B70" s="70"/>
      <c r="C70" s="75"/>
      <c r="D70" s="75"/>
      <c r="E70" s="75"/>
      <c r="F70" s="75"/>
      <c r="G70" s="62"/>
      <c r="H70" s="62"/>
      <c r="I70" s="62"/>
      <c r="J70" s="62"/>
      <c r="K70" s="62"/>
      <c r="L70" s="62"/>
      <c r="M70" s="62"/>
      <c r="N70" s="62"/>
      <c r="O70" s="62"/>
      <c r="P70" s="62"/>
      <c r="Q70" s="62"/>
      <c r="R70" s="62"/>
      <c r="S70" s="62"/>
      <c r="T70" s="62"/>
      <c r="U70" s="62"/>
      <c r="V70" s="62"/>
      <c r="W70" s="62"/>
      <c r="X70" s="62"/>
      <c r="Y70" s="62"/>
      <c r="Z70" s="62"/>
      <c r="AA70" s="62"/>
      <c r="AB70" s="62"/>
      <c r="AC70" s="62"/>
      <c r="AD70" s="62"/>
      <c r="AE70" s="62"/>
      <c r="AF70" s="72"/>
      <c r="AG70" s="73"/>
      <c r="AH70" s="74"/>
      <c r="AI70" s="75"/>
      <c r="AJ70" s="75"/>
      <c r="AK70" s="75"/>
      <c r="AL70" s="75"/>
      <c r="AM70" s="76"/>
      <c r="AQ70" s="77"/>
    </row>
    <row r="71" ht="21.9" customHeight="1" spans="1:43" x14ac:dyDescent="0.25">
      <c r="A71" s="62">
        <v>8</v>
      </c>
      <c r="B71" s="70"/>
      <c r="C71" s="75"/>
      <c r="D71" s="75"/>
      <c r="E71" s="75"/>
      <c r="F71" s="75"/>
      <c r="G71" s="62"/>
      <c r="H71" s="62"/>
      <c r="I71" s="62"/>
      <c r="J71" s="62"/>
      <c r="K71" s="62"/>
      <c r="L71" s="62"/>
      <c r="M71" s="62"/>
      <c r="N71" s="62"/>
      <c r="O71" s="62"/>
      <c r="P71" s="62"/>
      <c r="Q71" s="62"/>
      <c r="R71" s="62"/>
      <c r="S71" s="62"/>
      <c r="T71" s="62"/>
      <c r="U71" s="62"/>
      <c r="V71" s="62"/>
      <c r="W71" s="62"/>
      <c r="X71" s="62"/>
      <c r="Y71" s="62"/>
      <c r="Z71" s="62"/>
      <c r="AA71" s="62"/>
      <c r="AB71" s="62"/>
      <c r="AC71" s="62"/>
      <c r="AD71" s="62"/>
      <c r="AE71" s="62"/>
      <c r="AF71" s="72"/>
      <c r="AG71" s="73"/>
      <c r="AH71" s="74"/>
      <c r="AI71" s="75"/>
      <c r="AJ71" s="75"/>
      <c r="AK71" s="75"/>
      <c r="AL71" s="75"/>
      <c r="AM71" s="76"/>
      <c r="AQ71" s="77"/>
    </row>
    <row r="72" ht="21.9" customHeight="1" spans="1:43" x14ac:dyDescent="0.25">
      <c r="A72" s="62">
        <v>9</v>
      </c>
      <c r="B72" s="70"/>
      <c r="C72" s="75"/>
      <c r="D72" s="75"/>
      <c r="E72" s="75"/>
      <c r="F72" s="75"/>
      <c r="G72" s="62"/>
      <c r="H72" s="62"/>
      <c r="I72" s="62"/>
      <c r="J72" s="62"/>
      <c r="K72" s="62"/>
      <c r="L72" s="62"/>
      <c r="M72" s="62"/>
      <c r="N72" s="62"/>
      <c r="O72" s="62"/>
      <c r="P72" s="62"/>
      <c r="Q72" s="62"/>
      <c r="R72" s="62"/>
      <c r="S72" s="62"/>
      <c r="T72" s="62"/>
      <c r="U72" s="62"/>
      <c r="V72" s="62"/>
      <c r="W72" s="62"/>
      <c r="X72" s="62"/>
      <c r="Y72" s="62"/>
      <c r="Z72" s="62"/>
      <c r="AA72" s="62"/>
      <c r="AB72" s="62"/>
      <c r="AC72" s="62"/>
      <c r="AD72" s="62"/>
      <c r="AE72" s="62"/>
      <c r="AF72" s="72"/>
      <c r="AG72" s="73"/>
      <c r="AH72" s="74"/>
      <c r="AI72" s="75"/>
      <c r="AJ72" s="75"/>
      <c r="AK72" s="75"/>
      <c r="AL72" s="75"/>
      <c r="AM72" s="76"/>
      <c r="AQ72" s="77"/>
    </row>
    <row r="73" ht="21.9" customHeight="1" spans="1:43" x14ac:dyDescent="0.25">
      <c r="A73" s="62">
        <v>10</v>
      </c>
      <c r="B73" s="70"/>
      <c r="C73" s="75"/>
      <c r="D73" s="75"/>
      <c r="E73" s="75"/>
      <c r="F73" s="75"/>
      <c r="G73" s="62"/>
      <c r="H73" s="62"/>
      <c r="I73" s="62"/>
      <c r="J73" s="62"/>
      <c r="K73" s="62"/>
      <c r="L73" s="62"/>
      <c r="M73" s="62"/>
      <c r="N73" s="62"/>
      <c r="O73" s="62"/>
      <c r="P73" s="62"/>
      <c r="Q73" s="62"/>
      <c r="R73" s="62"/>
      <c r="S73" s="62"/>
      <c r="T73" s="62"/>
      <c r="U73" s="62"/>
      <c r="V73" s="62"/>
      <c r="W73" s="62"/>
      <c r="X73" s="62"/>
      <c r="Y73" s="62"/>
      <c r="Z73" s="62"/>
      <c r="AA73" s="62"/>
      <c r="AB73" s="62"/>
      <c r="AC73" s="62"/>
      <c r="AD73" s="62"/>
      <c r="AE73" s="62"/>
      <c r="AF73" s="72"/>
      <c r="AG73" s="73"/>
      <c r="AH73" s="74"/>
      <c r="AI73" s="75"/>
      <c r="AJ73" s="75"/>
      <c r="AK73" s="75"/>
      <c r="AL73" s="75"/>
      <c r="AM73" s="76"/>
      <c r="AQ73" s="77"/>
    </row>
    <row r="74" ht="21.9" customHeight="1" spans="1:43" x14ac:dyDescent="0.25">
      <c r="A74" s="62">
        <v>11</v>
      </c>
      <c r="B74" s="70"/>
      <c r="C74" s="75"/>
      <c r="D74" s="75"/>
      <c r="E74" s="75"/>
      <c r="F74" s="75"/>
      <c r="G74" s="62"/>
      <c r="H74" s="62"/>
      <c r="I74" s="62"/>
      <c r="J74" s="62"/>
      <c r="K74" s="62"/>
      <c r="L74" s="62"/>
      <c r="M74" s="62"/>
      <c r="N74" s="62"/>
      <c r="O74" s="62"/>
      <c r="P74" s="62"/>
      <c r="Q74" s="62"/>
      <c r="R74" s="62"/>
      <c r="S74" s="62"/>
      <c r="T74" s="62"/>
      <c r="U74" s="62"/>
      <c r="V74" s="62"/>
      <c r="W74" s="62"/>
      <c r="X74" s="62"/>
      <c r="Y74" s="62"/>
      <c r="Z74" s="62"/>
      <c r="AA74" s="62"/>
      <c r="AB74" s="62"/>
      <c r="AC74" s="62"/>
      <c r="AD74" s="62"/>
      <c r="AE74" s="62"/>
      <c r="AF74" s="72"/>
      <c r="AG74" s="73"/>
      <c r="AH74" s="74"/>
      <c r="AI74" s="75"/>
      <c r="AJ74" s="75"/>
      <c r="AK74" s="75"/>
      <c r="AL74" s="75"/>
      <c r="AM74" s="76"/>
      <c r="AQ74" s="77"/>
    </row>
    <row r="75" ht="21.9" customHeight="1" spans="1:43" x14ac:dyDescent="0.25">
      <c r="A75" s="62">
        <v>12</v>
      </c>
      <c r="B75" s="70"/>
      <c r="C75" s="75"/>
      <c r="D75" s="75"/>
      <c r="E75" s="75"/>
      <c r="F75" s="75"/>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72"/>
      <c r="AG75" s="73"/>
      <c r="AH75" s="74"/>
      <c r="AI75" s="75"/>
      <c r="AJ75" s="75"/>
      <c r="AK75" s="75"/>
      <c r="AL75" s="75"/>
      <c r="AM75" s="76"/>
      <c r="AQ75" s="77"/>
    </row>
    <row r="76" ht="21.9" customHeight="1" spans="1:43" x14ac:dyDescent="0.25">
      <c r="A76" s="62">
        <v>13</v>
      </c>
      <c r="B76" s="70"/>
      <c r="C76" s="75"/>
      <c r="D76" s="75"/>
      <c r="E76" s="75"/>
      <c r="F76" s="75"/>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72"/>
      <c r="AG76" s="73"/>
      <c r="AH76" s="74"/>
      <c r="AI76" s="75"/>
      <c r="AJ76" s="75"/>
      <c r="AK76" s="75"/>
      <c r="AL76" s="75"/>
      <c r="AM76" s="76"/>
      <c r="AQ76" s="77"/>
    </row>
    <row r="77" ht="21.9" customHeight="1" spans="1:43" x14ac:dyDescent="0.25">
      <c r="A77" s="62">
        <v>14</v>
      </c>
      <c r="B77" s="70"/>
      <c r="C77" s="75"/>
      <c r="D77" s="75"/>
      <c r="E77" s="75"/>
      <c r="F77" s="75"/>
      <c r="G77" s="62"/>
      <c r="H77" s="62"/>
      <c r="I77" s="62"/>
      <c r="J77" s="62"/>
      <c r="K77" s="62"/>
      <c r="L77" s="62"/>
      <c r="M77" s="62"/>
      <c r="N77" s="62"/>
      <c r="O77" s="62"/>
      <c r="P77" s="62"/>
      <c r="Q77" s="62"/>
      <c r="R77" s="62"/>
      <c r="S77" s="62"/>
      <c r="T77" s="62"/>
      <c r="U77" s="62"/>
      <c r="V77" s="62"/>
      <c r="W77" s="62"/>
      <c r="X77" s="62"/>
      <c r="Y77" s="62"/>
      <c r="Z77" s="62"/>
      <c r="AA77" s="62"/>
      <c r="AB77" s="62"/>
      <c r="AC77" s="62"/>
      <c r="AD77" s="62"/>
      <c r="AE77" s="62"/>
      <c r="AF77" s="72"/>
      <c r="AG77" s="73"/>
      <c r="AH77" s="74"/>
      <c r="AI77" s="75"/>
      <c r="AJ77" s="75"/>
      <c r="AK77" s="75"/>
      <c r="AL77" s="75"/>
      <c r="AM77" s="76"/>
      <c r="AQ77" s="77"/>
    </row>
    <row r="78" ht="21.9" customHeight="1" spans="1:43" x14ac:dyDescent="0.25">
      <c r="A78" s="62">
        <v>15</v>
      </c>
      <c r="B78" s="70"/>
      <c r="C78" s="75"/>
      <c r="D78" s="75"/>
      <c r="E78" s="75"/>
      <c r="F78" s="75"/>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72"/>
      <c r="AG78" s="73"/>
      <c r="AH78" s="74"/>
      <c r="AI78" s="75"/>
      <c r="AJ78" s="75"/>
      <c r="AK78" s="75"/>
      <c r="AL78" s="75"/>
      <c r="AM78" s="76"/>
      <c r="AQ78" s="77"/>
    </row>
    <row r="79" ht="21.9" customHeight="1" spans="1:43" x14ac:dyDescent="0.25">
      <c r="A79" s="62">
        <v>16</v>
      </c>
      <c r="B79" s="70"/>
      <c r="C79" s="75"/>
      <c r="D79" s="75"/>
      <c r="E79" s="75"/>
      <c r="F79" s="75"/>
      <c r="G79" s="62"/>
      <c r="H79" s="62"/>
      <c r="I79" s="62"/>
      <c r="J79" s="62"/>
      <c r="K79" s="62"/>
      <c r="L79" s="62"/>
      <c r="M79" s="62"/>
      <c r="N79" s="62"/>
      <c r="O79" s="62"/>
      <c r="P79" s="62"/>
      <c r="Q79" s="62"/>
      <c r="R79" s="62"/>
      <c r="S79" s="62"/>
      <c r="T79" s="62"/>
      <c r="U79" s="62"/>
      <c r="V79" s="62"/>
      <c r="W79" s="62"/>
      <c r="X79" s="62"/>
      <c r="Y79" s="62"/>
      <c r="Z79" s="62"/>
      <c r="AA79" s="62"/>
      <c r="AB79" s="62"/>
      <c r="AC79" s="62"/>
      <c r="AD79" s="62"/>
      <c r="AE79" s="62"/>
      <c r="AF79" s="72"/>
      <c r="AG79" s="73"/>
      <c r="AH79" s="74"/>
      <c r="AI79" s="75"/>
      <c r="AJ79" s="75"/>
      <c r="AK79" s="75"/>
      <c r="AL79" s="75"/>
      <c r="AM79" s="76"/>
      <c r="AQ79" s="77"/>
    </row>
    <row r="80" ht="21.9" customHeight="1" spans="1:43" x14ac:dyDescent="0.25">
      <c r="A80" s="62">
        <v>17</v>
      </c>
      <c r="B80" s="70"/>
      <c r="C80" s="75"/>
      <c r="D80" s="75"/>
      <c r="E80" s="75"/>
      <c r="F80" s="75"/>
      <c r="G80" s="62"/>
      <c r="H80" s="62"/>
      <c r="I80" s="62"/>
      <c r="J80" s="62"/>
      <c r="K80" s="62"/>
      <c r="L80" s="62"/>
      <c r="M80" s="62"/>
      <c r="N80" s="62"/>
      <c r="O80" s="62"/>
      <c r="P80" s="62"/>
      <c r="Q80" s="62"/>
      <c r="R80" s="62"/>
      <c r="S80" s="62"/>
      <c r="T80" s="62"/>
      <c r="U80" s="62"/>
      <c r="V80" s="62"/>
      <c r="W80" s="62"/>
      <c r="X80" s="62"/>
      <c r="Y80" s="62"/>
      <c r="Z80" s="62"/>
      <c r="AA80" s="62"/>
      <c r="AB80" s="62"/>
      <c r="AC80" s="62"/>
      <c r="AD80" s="62"/>
      <c r="AE80" s="62"/>
      <c r="AF80" s="72"/>
      <c r="AG80" s="73"/>
      <c r="AH80" s="74"/>
      <c r="AI80" s="75"/>
      <c r="AJ80" s="75"/>
      <c r="AK80" s="75"/>
      <c r="AL80" s="75"/>
      <c r="AM80" s="76"/>
      <c r="AQ80" s="77"/>
    </row>
    <row r="81" ht="21.9" customHeight="1" spans="1:43" x14ac:dyDescent="0.25">
      <c r="A81" s="62">
        <v>18</v>
      </c>
      <c r="B81" s="70"/>
      <c r="C81" s="75"/>
      <c r="D81" s="75"/>
      <c r="E81" s="75"/>
      <c r="F81" s="75"/>
      <c r="G81" s="62"/>
      <c r="H81" s="62"/>
      <c r="I81" s="62"/>
      <c r="J81" s="62"/>
      <c r="K81" s="62"/>
      <c r="L81" s="62"/>
      <c r="M81" s="62"/>
      <c r="N81" s="62"/>
      <c r="O81" s="62"/>
      <c r="P81" s="62"/>
      <c r="Q81" s="62"/>
      <c r="R81" s="62"/>
      <c r="S81" s="62"/>
      <c r="T81" s="62"/>
      <c r="U81" s="62"/>
      <c r="V81" s="62"/>
      <c r="W81" s="62"/>
      <c r="X81" s="62"/>
      <c r="Y81" s="62"/>
      <c r="Z81" s="62"/>
      <c r="AA81" s="62"/>
      <c r="AB81" s="62"/>
      <c r="AC81" s="62"/>
      <c r="AD81" s="62"/>
      <c r="AE81" s="62"/>
      <c r="AF81" s="72"/>
      <c r="AG81" s="73"/>
      <c r="AH81" s="74"/>
      <c r="AI81" s="75"/>
      <c r="AJ81" s="75"/>
      <c r="AK81" s="75"/>
      <c r="AL81" s="75"/>
      <c r="AM81" s="76"/>
      <c r="AQ81" s="77"/>
    </row>
    <row r="82" ht="21.9" customHeight="1" spans="1:43" x14ac:dyDescent="0.25">
      <c r="A82" s="62">
        <v>19</v>
      </c>
      <c r="B82" s="70"/>
      <c r="C82" s="75"/>
      <c r="D82" s="75"/>
      <c r="E82" s="75"/>
      <c r="F82" s="75"/>
      <c r="G82" s="62"/>
      <c r="H82" s="62"/>
      <c r="I82" s="62"/>
      <c r="J82" s="62"/>
      <c r="K82" s="62"/>
      <c r="L82" s="62"/>
      <c r="M82" s="62"/>
      <c r="N82" s="62"/>
      <c r="O82" s="62"/>
      <c r="P82" s="62"/>
      <c r="Q82" s="62"/>
      <c r="R82" s="62"/>
      <c r="S82" s="62"/>
      <c r="T82" s="62"/>
      <c r="U82" s="62"/>
      <c r="V82" s="62"/>
      <c r="W82" s="62"/>
      <c r="X82" s="62"/>
      <c r="Y82" s="62"/>
      <c r="Z82" s="62"/>
      <c r="AA82" s="62"/>
      <c r="AB82" s="62"/>
      <c r="AC82" s="62"/>
      <c r="AD82" s="62"/>
      <c r="AE82" s="62"/>
      <c r="AF82" s="72"/>
      <c r="AG82" s="73"/>
      <c r="AH82" s="74"/>
      <c r="AI82" s="75"/>
      <c r="AJ82" s="75"/>
      <c r="AK82" s="75"/>
      <c r="AL82" s="75"/>
      <c r="AM82" s="76"/>
      <c r="AQ82" s="77"/>
    </row>
    <row r="83" ht="21.9" customHeight="1" spans="1:43" x14ac:dyDescent="0.25">
      <c r="A83" s="62">
        <v>20</v>
      </c>
      <c r="B83" s="70"/>
      <c r="C83" s="75"/>
      <c r="D83" s="75"/>
      <c r="E83" s="75"/>
      <c r="F83" s="75"/>
      <c r="G83" s="62"/>
      <c r="H83" s="62"/>
      <c r="I83" s="62"/>
      <c r="J83" s="62"/>
      <c r="K83" s="62"/>
      <c r="L83" s="62"/>
      <c r="M83" s="62"/>
      <c r="N83" s="62"/>
      <c r="O83" s="62"/>
      <c r="P83" s="62"/>
      <c r="Q83" s="62"/>
      <c r="R83" s="62"/>
      <c r="S83" s="62"/>
      <c r="T83" s="62"/>
      <c r="U83" s="62"/>
      <c r="V83" s="62"/>
      <c r="W83" s="62"/>
      <c r="X83" s="62"/>
      <c r="Y83" s="62"/>
      <c r="Z83" s="62"/>
      <c r="AA83" s="62"/>
      <c r="AB83" s="62"/>
      <c r="AC83" s="62"/>
      <c r="AD83" s="62"/>
      <c r="AE83" s="62"/>
      <c r="AF83" s="72"/>
      <c r="AG83" s="73"/>
      <c r="AH83" s="74"/>
      <c r="AI83" s="75"/>
      <c r="AJ83" s="75"/>
      <c r="AK83" s="75"/>
      <c r="AL83" s="75"/>
      <c r="AM83" s="76"/>
      <c r="AQ83" s="77"/>
    </row>
    <row r="84" ht="21.9" customHeight="1" spans="1:43" x14ac:dyDescent="0.25">
      <c r="A84" s="62">
        <v>21</v>
      </c>
      <c r="B84" s="70"/>
      <c r="C84" s="75"/>
      <c r="D84" s="75"/>
      <c r="E84" s="75"/>
      <c r="F84" s="75"/>
      <c r="G84" s="62"/>
      <c r="H84" s="62"/>
      <c r="I84" s="62"/>
      <c r="J84" s="62"/>
      <c r="K84" s="62"/>
      <c r="L84" s="62"/>
      <c r="M84" s="62"/>
      <c r="N84" s="62"/>
      <c r="O84" s="62"/>
      <c r="P84" s="62"/>
      <c r="Q84" s="62"/>
      <c r="R84" s="62"/>
      <c r="S84" s="62"/>
      <c r="T84" s="62"/>
      <c r="U84" s="62"/>
      <c r="V84" s="62"/>
      <c r="W84" s="62"/>
      <c r="X84" s="62"/>
      <c r="Y84" s="62"/>
      <c r="Z84" s="62"/>
      <c r="AA84" s="62"/>
      <c r="AB84" s="62"/>
      <c r="AC84" s="62"/>
      <c r="AD84" s="62"/>
      <c r="AE84" s="62"/>
      <c r="AF84" s="72"/>
      <c r="AG84" s="73"/>
      <c r="AH84" s="74"/>
      <c r="AI84" s="75"/>
      <c r="AJ84" s="75"/>
      <c r="AK84" s="75"/>
      <c r="AL84" s="75"/>
      <c r="AM84" s="76"/>
      <c r="AQ84" s="77"/>
    </row>
    <row r="85" ht="21.9" customHeight="1" spans="1:43" x14ac:dyDescent="0.25">
      <c r="A85" s="62">
        <v>22</v>
      </c>
      <c r="B85" s="70"/>
      <c r="C85" s="75"/>
      <c r="D85" s="75"/>
      <c r="E85" s="75"/>
      <c r="F85" s="75"/>
      <c r="G85" s="62"/>
      <c r="H85" s="62"/>
      <c r="I85" s="62"/>
      <c r="J85" s="62"/>
      <c r="K85" s="62"/>
      <c r="L85" s="62"/>
      <c r="M85" s="62"/>
      <c r="N85" s="62"/>
      <c r="O85" s="62"/>
      <c r="P85" s="62"/>
      <c r="Q85" s="62"/>
      <c r="R85" s="62"/>
      <c r="S85" s="62"/>
      <c r="T85" s="62"/>
      <c r="U85" s="62"/>
      <c r="V85" s="62"/>
      <c r="W85" s="62"/>
      <c r="X85" s="62"/>
      <c r="Y85" s="62"/>
      <c r="Z85" s="62"/>
      <c r="AA85" s="62"/>
      <c r="AB85" s="62"/>
      <c r="AC85" s="62"/>
      <c r="AD85" s="62"/>
      <c r="AE85" s="62"/>
      <c r="AF85" s="72"/>
      <c r="AG85" s="73"/>
      <c r="AH85" s="74"/>
      <c r="AI85" s="75"/>
      <c r="AJ85" s="75"/>
      <c r="AK85" s="75"/>
      <c r="AL85" s="75"/>
      <c r="AM85" s="76"/>
      <c r="AQ85" s="77"/>
    </row>
    <row r="86" ht="21.9" customHeight="1" spans="1:43" x14ac:dyDescent="0.25">
      <c r="A86" s="62">
        <v>23</v>
      </c>
      <c r="B86" s="70"/>
      <c r="C86" s="75"/>
      <c r="D86" s="75"/>
      <c r="E86" s="75"/>
      <c r="F86" s="75"/>
      <c r="G86" s="62"/>
      <c r="H86" s="62"/>
      <c r="I86" s="62"/>
      <c r="J86" s="62"/>
      <c r="K86" s="62"/>
      <c r="L86" s="62"/>
      <c r="M86" s="62"/>
      <c r="N86" s="62"/>
      <c r="O86" s="62"/>
      <c r="P86" s="62"/>
      <c r="Q86" s="62"/>
      <c r="R86" s="62"/>
      <c r="S86" s="62"/>
      <c r="T86" s="62"/>
      <c r="U86" s="62"/>
      <c r="V86" s="62"/>
      <c r="W86" s="62"/>
      <c r="X86" s="62"/>
      <c r="Y86" s="62"/>
      <c r="Z86" s="62"/>
      <c r="AA86" s="62"/>
      <c r="AB86" s="62"/>
      <c r="AC86" s="62"/>
      <c r="AD86" s="62"/>
      <c r="AE86" s="62"/>
      <c r="AF86" s="72"/>
      <c r="AG86" s="73"/>
      <c r="AH86" s="74"/>
      <c r="AI86" s="75"/>
      <c r="AJ86" s="75"/>
      <c r="AK86" s="75"/>
      <c r="AL86" s="75"/>
      <c r="AM86" s="76"/>
      <c r="AQ86" s="77"/>
    </row>
    <row r="87" ht="21.9" customHeight="1" spans="1:43" x14ac:dyDescent="0.25">
      <c r="A87" s="62">
        <v>24</v>
      </c>
      <c r="B87" s="70"/>
      <c r="C87" s="75"/>
      <c r="D87" s="75"/>
      <c r="E87" s="75"/>
      <c r="F87" s="75"/>
      <c r="G87" s="62"/>
      <c r="H87" s="62"/>
      <c r="I87" s="62"/>
      <c r="J87" s="62"/>
      <c r="K87" s="62"/>
      <c r="L87" s="62"/>
      <c r="M87" s="62"/>
      <c r="N87" s="62"/>
      <c r="O87" s="62"/>
      <c r="P87" s="62"/>
      <c r="Q87" s="62"/>
      <c r="R87" s="62"/>
      <c r="S87" s="62"/>
      <c r="T87" s="62"/>
      <c r="U87" s="62"/>
      <c r="V87" s="62"/>
      <c r="W87" s="62"/>
      <c r="X87" s="62"/>
      <c r="Y87" s="62"/>
      <c r="Z87" s="62"/>
      <c r="AA87" s="62"/>
      <c r="AB87" s="62"/>
      <c r="AC87" s="62"/>
      <c r="AD87" s="62"/>
      <c r="AE87" s="62"/>
      <c r="AF87" s="72"/>
      <c r="AG87" s="73"/>
      <c r="AH87" s="74"/>
      <c r="AI87" s="75"/>
      <c r="AJ87" s="75"/>
      <c r="AK87" s="75"/>
      <c r="AL87" s="75"/>
      <c r="AM87" s="76"/>
      <c r="AQ87" s="77"/>
    </row>
    <row r="88" ht="21.9" customHeight="1" spans="1:43" x14ac:dyDescent="0.25">
      <c r="A88" s="62">
        <v>25</v>
      </c>
      <c r="B88" s="70"/>
      <c r="C88" s="75"/>
      <c r="D88" s="75"/>
      <c r="E88" s="75"/>
      <c r="F88" s="75"/>
      <c r="G88" s="62"/>
      <c r="H88" s="62"/>
      <c r="I88" s="62"/>
      <c r="J88" s="62"/>
      <c r="K88" s="62"/>
      <c r="L88" s="62"/>
      <c r="M88" s="62"/>
      <c r="N88" s="62"/>
      <c r="O88" s="62"/>
      <c r="P88" s="62"/>
      <c r="Q88" s="62"/>
      <c r="R88" s="62"/>
      <c r="S88" s="62"/>
      <c r="T88" s="62"/>
      <c r="U88" s="62"/>
      <c r="V88" s="62"/>
      <c r="W88" s="62"/>
      <c r="X88" s="62"/>
      <c r="Y88" s="62"/>
      <c r="Z88" s="62"/>
      <c r="AA88" s="62"/>
      <c r="AB88" s="62"/>
      <c r="AC88" s="62"/>
      <c r="AD88" s="62"/>
      <c r="AE88" s="62"/>
      <c r="AF88" s="72">
        <f t="shared" ref="AF88:AF113" si="7">IF(B88="","",COUNTIF(G88:AE88,"x")+COUNTIF(G88:AE88,"h")*0.5)</f>
      </c>
      <c r="AG88" s="73">
        <f t="shared" ref="AG88:AG113" si="8">IF(B88="","",$AJ$117-AF88)</f>
      </c>
      <c r="AH88" s="74"/>
      <c r="AI88" s="75"/>
      <c r="AJ88" s="75"/>
      <c r="AK88" s="75"/>
      <c r="AL88" s="75"/>
      <c r="AM88" s="76"/>
      <c r="AQ88" s="77"/>
    </row>
    <row r="89" ht="21.9" customHeight="1" spans="1:43" x14ac:dyDescent="0.25">
      <c r="A89" s="62">
        <v>26</v>
      </c>
      <c r="B89" s="70"/>
      <c r="C89" s="75"/>
      <c r="D89" s="75"/>
      <c r="E89" s="75"/>
      <c r="F89" s="75"/>
      <c r="G89" s="62"/>
      <c r="H89" s="62"/>
      <c r="I89" s="62"/>
      <c r="J89" s="62"/>
      <c r="K89" s="62"/>
      <c r="L89" s="62"/>
      <c r="M89" s="62"/>
      <c r="N89" s="62"/>
      <c r="O89" s="62"/>
      <c r="P89" s="62"/>
      <c r="Q89" s="62"/>
      <c r="R89" s="62"/>
      <c r="S89" s="62"/>
      <c r="T89" s="62"/>
      <c r="U89" s="62"/>
      <c r="V89" s="62"/>
      <c r="W89" s="62"/>
      <c r="X89" s="62"/>
      <c r="Y89" s="62"/>
      <c r="Z89" s="62"/>
      <c r="AA89" s="62"/>
      <c r="AB89" s="62"/>
      <c r="AC89" s="62"/>
      <c r="AD89" s="62"/>
      <c r="AE89" s="62"/>
      <c r="AF89" s="72">
        <f t="shared" si="7"/>
      </c>
      <c r="AG89" s="73">
        <f t="shared" si="8"/>
      </c>
      <c r="AH89" s="74"/>
      <c r="AI89" s="75"/>
      <c r="AJ89" s="75"/>
      <c r="AK89" s="75"/>
      <c r="AL89" s="75"/>
      <c r="AM89" s="76"/>
      <c r="AQ89" s="77"/>
    </row>
    <row r="90" ht="21.9" customHeight="1" spans="1:43" x14ac:dyDescent="0.25">
      <c r="A90" s="62">
        <v>27</v>
      </c>
      <c r="B90" s="70"/>
      <c r="C90" s="75"/>
      <c r="D90" s="75"/>
      <c r="E90" s="75"/>
      <c r="F90" s="75"/>
      <c r="G90" s="62"/>
      <c r="H90" s="62"/>
      <c r="I90" s="62"/>
      <c r="J90" s="62"/>
      <c r="K90" s="62"/>
      <c r="L90" s="62"/>
      <c r="M90" s="62"/>
      <c r="N90" s="62"/>
      <c r="O90" s="62"/>
      <c r="P90" s="62"/>
      <c r="Q90" s="62"/>
      <c r="R90" s="62"/>
      <c r="S90" s="62"/>
      <c r="T90" s="62"/>
      <c r="U90" s="62"/>
      <c r="V90" s="62"/>
      <c r="W90" s="62"/>
      <c r="X90" s="62"/>
      <c r="Y90" s="62"/>
      <c r="Z90" s="62"/>
      <c r="AA90" s="62"/>
      <c r="AB90" s="62"/>
      <c r="AC90" s="62"/>
      <c r="AD90" s="62"/>
      <c r="AE90" s="62"/>
      <c r="AF90" s="72">
        <f t="shared" si="7"/>
      </c>
      <c r="AG90" s="73">
        <f t="shared" si="8"/>
      </c>
      <c r="AH90" s="74"/>
      <c r="AI90" s="75"/>
      <c r="AJ90" s="75"/>
      <c r="AK90" s="75"/>
      <c r="AL90" s="75"/>
      <c r="AM90" s="76"/>
      <c r="AQ90" s="77"/>
    </row>
    <row r="91" ht="21.9" customHeight="1" spans="1:43" x14ac:dyDescent="0.25">
      <c r="A91" s="62">
        <v>28</v>
      </c>
      <c r="B91" s="70"/>
      <c r="C91" s="75"/>
      <c r="D91" s="75"/>
      <c r="E91" s="75"/>
      <c r="F91" s="75"/>
      <c r="G91" s="62"/>
      <c r="H91" s="62"/>
      <c r="I91" s="62"/>
      <c r="J91" s="62"/>
      <c r="K91" s="62"/>
      <c r="L91" s="62"/>
      <c r="M91" s="62"/>
      <c r="N91" s="62"/>
      <c r="O91" s="62"/>
      <c r="P91" s="62"/>
      <c r="Q91" s="62"/>
      <c r="R91" s="62"/>
      <c r="S91" s="62"/>
      <c r="T91" s="62"/>
      <c r="U91" s="62"/>
      <c r="V91" s="62"/>
      <c r="W91" s="62"/>
      <c r="X91" s="62"/>
      <c r="Y91" s="62"/>
      <c r="Z91" s="62"/>
      <c r="AA91" s="62"/>
      <c r="AB91" s="62"/>
      <c r="AC91" s="62"/>
      <c r="AD91" s="62"/>
      <c r="AE91" s="62"/>
      <c r="AF91" s="72">
        <f t="shared" si="7"/>
      </c>
      <c r="AG91" s="73">
        <f t="shared" si="8"/>
      </c>
      <c r="AH91" s="74"/>
      <c r="AI91" s="75"/>
      <c r="AJ91" s="75"/>
      <c r="AK91" s="75"/>
      <c r="AL91" s="75"/>
      <c r="AM91" s="76"/>
      <c r="AQ91" s="77"/>
    </row>
    <row r="92" ht="21.9" customHeight="1" spans="1:43" x14ac:dyDescent="0.25">
      <c r="A92" s="62">
        <v>29</v>
      </c>
      <c r="B92" s="70"/>
      <c r="C92" s="75"/>
      <c r="D92" s="75"/>
      <c r="E92" s="75"/>
      <c r="F92" s="75"/>
      <c r="G92" s="62"/>
      <c r="H92" s="62"/>
      <c r="I92" s="62"/>
      <c r="J92" s="62"/>
      <c r="K92" s="62"/>
      <c r="L92" s="62"/>
      <c r="M92" s="62"/>
      <c r="N92" s="62"/>
      <c r="O92" s="62"/>
      <c r="P92" s="62"/>
      <c r="Q92" s="62"/>
      <c r="R92" s="62"/>
      <c r="S92" s="62"/>
      <c r="T92" s="62"/>
      <c r="U92" s="62"/>
      <c r="V92" s="62"/>
      <c r="W92" s="62"/>
      <c r="X92" s="62"/>
      <c r="Y92" s="62"/>
      <c r="Z92" s="62"/>
      <c r="AA92" s="62"/>
      <c r="AB92" s="62"/>
      <c r="AC92" s="62"/>
      <c r="AD92" s="62"/>
      <c r="AE92" s="62"/>
      <c r="AF92" s="72">
        <f t="shared" si="7"/>
      </c>
      <c r="AG92" s="73">
        <f t="shared" si="8"/>
      </c>
      <c r="AH92" s="74"/>
      <c r="AI92" s="75"/>
      <c r="AJ92" s="75"/>
      <c r="AK92" s="75"/>
      <c r="AL92" s="75"/>
      <c r="AM92" s="76"/>
      <c r="AQ92" s="77"/>
    </row>
    <row r="93" ht="21.9" customHeight="1" spans="1:43" x14ac:dyDescent="0.25">
      <c r="A93" s="62">
        <v>30</v>
      </c>
      <c r="B93" s="70"/>
      <c r="C93" s="75"/>
      <c r="D93" s="75"/>
      <c r="E93" s="75"/>
      <c r="F93" s="75"/>
      <c r="G93" s="62"/>
      <c r="H93" s="62"/>
      <c r="I93" s="62"/>
      <c r="J93" s="62"/>
      <c r="K93" s="62"/>
      <c r="L93" s="62"/>
      <c r="M93" s="62"/>
      <c r="N93" s="62"/>
      <c r="O93" s="62"/>
      <c r="P93" s="62"/>
      <c r="Q93" s="62"/>
      <c r="R93" s="62"/>
      <c r="S93" s="62"/>
      <c r="T93" s="62"/>
      <c r="U93" s="62"/>
      <c r="V93" s="62"/>
      <c r="W93" s="62"/>
      <c r="X93" s="62"/>
      <c r="Y93" s="62"/>
      <c r="Z93" s="62"/>
      <c r="AA93" s="62"/>
      <c r="AB93" s="62"/>
      <c r="AC93" s="62"/>
      <c r="AD93" s="62"/>
      <c r="AE93" s="62"/>
      <c r="AF93" s="72">
        <f t="shared" si="7"/>
      </c>
      <c r="AG93" s="73">
        <f t="shared" si="8"/>
      </c>
      <c r="AH93" s="74"/>
      <c r="AI93" s="75"/>
      <c r="AJ93" s="75"/>
      <c r="AK93" s="75"/>
      <c r="AL93" s="75"/>
      <c r="AM93" s="76"/>
      <c r="AQ93" s="77"/>
    </row>
    <row r="94" ht="21.9" customHeight="1" spans="1:43" x14ac:dyDescent="0.25">
      <c r="A94" s="62">
        <v>31</v>
      </c>
      <c r="B94" s="70"/>
      <c r="C94" s="75"/>
      <c r="D94" s="75"/>
      <c r="E94" s="75"/>
      <c r="F94" s="75"/>
      <c r="G94" s="62"/>
      <c r="H94" s="62"/>
      <c r="I94" s="62"/>
      <c r="J94" s="62"/>
      <c r="K94" s="62"/>
      <c r="L94" s="62"/>
      <c r="M94" s="62"/>
      <c r="N94" s="62"/>
      <c r="O94" s="62"/>
      <c r="P94" s="62"/>
      <c r="Q94" s="62"/>
      <c r="R94" s="62"/>
      <c r="S94" s="62"/>
      <c r="T94" s="62"/>
      <c r="U94" s="62"/>
      <c r="V94" s="62"/>
      <c r="W94" s="62"/>
      <c r="X94" s="62"/>
      <c r="Y94" s="62"/>
      <c r="Z94" s="62"/>
      <c r="AA94" s="62"/>
      <c r="AB94" s="62"/>
      <c r="AC94" s="62"/>
      <c r="AD94" s="62"/>
      <c r="AE94" s="62"/>
      <c r="AF94" s="72">
        <f t="shared" si="7"/>
      </c>
      <c r="AG94" s="73">
        <f t="shared" si="8"/>
      </c>
      <c r="AH94" s="74"/>
      <c r="AI94" s="75"/>
      <c r="AJ94" s="75"/>
      <c r="AK94" s="75"/>
      <c r="AL94" s="75"/>
      <c r="AM94" s="76"/>
      <c r="AQ94" s="77"/>
    </row>
    <row r="95" ht="21.9" customHeight="1" spans="1:43" x14ac:dyDescent="0.25">
      <c r="A95" s="62">
        <v>32</v>
      </c>
      <c r="B95" s="70"/>
      <c r="C95" s="75"/>
      <c r="D95" s="75"/>
      <c r="E95" s="75"/>
      <c r="F95" s="75"/>
      <c r="G95" s="62"/>
      <c r="H95" s="62"/>
      <c r="I95" s="62"/>
      <c r="J95" s="62"/>
      <c r="K95" s="62"/>
      <c r="L95" s="62"/>
      <c r="M95" s="62"/>
      <c r="N95" s="62"/>
      <c r="O95" s="62"/>
      <c r="P95" s="62"/>
      <c r="Q95" s="62"/>
      <c r="R95" s="62"/>
      <c r="S95" s="62"/>
      <c r="T95" s="62"/>
      <c r="U95" s="62"/>
      <c r="V95" s="62"/>
      <c r="W95" s="62"/>
      <c r="X95" s="62"/>
      <c r="Y95" s="62"/>
      <c r="Z95" s="62"/>
      <c r="AA95" s="62"/>
      <c r="AB95" s="62"/>
      <c r="AC95" s="62"/>
      <c r="AD95" s="62"/>
      <c r="AE95" s="62"/>
      <c r="AF95" s="72">
        <f t="shared" si="7"/>
      </c>
      <c r="AG95" s="73">
        <f t="shared" si="8"/>
      </c>
      <c r="AH95" s="74"/>
      <c r="AI95" s="75"/>
      <c r="AJ95" s="75"/>
      <c r="AK95" s="75"/>
      <c r="AL95" s="75"/>
      <c r="AM95" s="76"/>
      <c r="AQ95" s="77"/>
    </row>
    <row r="96" ht="21.9" customHeight="1" spans="1:43" x14ac:dyDescent="0.25">
      <c r="A96" s="62">
        <v>33</v>
      </c>
      <c r="B96" s="70"/>
      <c r="C96" s="75"/>
      <c r="D96" s="75"/>
      <c r="E96" s="75"/>
      <c r="F96" s="75"/>
      <c r="G96" s="62"/>
      <c r="H96" s="62"/>
      <c r="I96" s="62"/>
      <c r="J96" s="62"/>
      <c r="K96" s="62"/>
      <c r="L96" s="62"/>
      <c r="M96" s="62"/>
      <c r="N96" s="62"/>
      <c r="O96" s="62"/>
      <c r="P96" s="62"/>
      <c r="Q96" s="62"/>
      <c r="R96" s="62"/>
      <c r="S96" s="62"/>
      <c r="T96" s="62"/>
      <c r="U96" s="62"/>
      <c r="V96" s="62"/>
      <c r="W96" s="62"/>
      <c r="X96" s="62"/>
      <c r="Y96" s="62"/>
      <c r="Z96" s="62"/>
      <c r="AA96" s="62"/>
      <c r="AB96" s="62"/>
      <c r="AC96" s="62"/>
      <c r="AD96" s="62"/>
      <c r="AE96" s="62"/>
      <c r="AF96" s="72">
        <f t="shared" si="7"/>
      </c>
      <c r="AG96" s="73">
        <f t="shared" si="8"/>
      </c>
      <c r="AH96" s="74"/>
      <c r="AI96" s="75"/>
      <c r="AJ96" s="75"/>
      <c r="AK96" s="75"/>
      <c r="AL96" s="75"/>
      <c r="AM96" s="76"/>
      <c r="AQ96" s="77"/>
    </row>
    <row r="97" ht="21.9" customHeight="1" spans="1:43" x14ac:dyDescent="0.25">
      <c r="A97" s="62">
        <v>34</v>
      </c>
      <c r="B97" s="70"/>
      <c r="C97" s="75"/>
      <c r="D97" s="75"/>
      <c r="E97" s="75"/>
      <c r="F97" s="75"/>
      <c r="G97" s="62"/>
      <c r="H97" s="62"/>
      <c r="I97" s="62"/>
      <c r="J97" s="62"/>
      <c r="K97" s="62"/>
      <c r="L97" s="62"/>
      <c r="M97" s="62"/>
      <c r="N97" s="62"/>
      <c r="O97" s="62"/>
      <c r="P97" s="62"/>
      <c r="Q97" s="62"/>
      <c r="R97" s="62"/>
      <c r="S97" s="62"/>
      <c r="T97" s="62"/>
      <c r="U97" s="62"/>
      <c r="V97" s="62"/>
      <c r="W97" s="62"/>
      <c r="X97" s="62"/>
      <c r="Y97" s="62"/>
      <c r="Z97" s="62"/>
      <c r="AA97" s="62"/>
      <c r="AB97" s="62"/>
      <c r="AC97" s="62"/>
      <c r="AD97" s="62"/>
      <c r="AE97" s="62"/>
      <c r="AF97" s="72">
        <f t="shared" si="7"/>
      </c>
      <c r="AG97" s="73">
        <f t="shared" si="8"/>
      </c>
      <c r="AH97" s="74"/>
      <c r="AI97" s="75"/>
      <c r="AJ97" s="75"/>
      <c r="AK97" s="75"/>
      <c r="AL97" s="75"/>
      <c r="AM97" s="76"/>
      <c r="AQ97" s="77"/>
    </row>
    <row r="98" ht="21.9" customHeight="1" spans="1:43" x14ac:dyDescent="0.25">
      <c r="A98" s="62">
        <v>35</v>
      </c>
      <c r="B98" s="70"/>
      <c r="C98" s="75"/>
      <c r="D98" s="75"/>
      <c r="E98" s="75"/>
      <c r="F98" s="75"/>
      <c r="G98" s="62"/>
      <c r="H98" s="62"/>
      <c r="I98" s="62"/>
      <c r="J98" s="62"/>
      <c r="K98" s="62"/>
      <c r="L98" s="62"/>
      <c r="M98" s="62"/>
      <c r="N98" s="62"/>
      <c r="O98" s="62"/>
      <c r="P98" s="62"/>
      <c r="Q98" s="62"/>
      <c r="R98" s="62"/>
      <c r="S98" s="62"/>
      <c r="T98" s="62"/>
      <c r="U98" s="62"/>
      <c r="V98" s="62"/>
      <c r="W98" s="62"/>
      <c r="X98" s="62"/>
      <c r="Y98" s="62"/>
      <c r="Z98" s="62"/>
      <c r="AA98" s="62"/>
      <c r="AB98" s="62"/>
      <c r="AC98" s="62"/>
      <c r="AD98" s="62"/>
      <c r="AE98" s="62"/>
      <c r="AF98" s="72">
        <f t="shared" si="7"/>
      </c>
      <c r="AG98" s="73">
        <f t="shared" si="8"/>
      </c>
      <c r="AH98" s="74"/>
      <c r="AI98" s="75"/>
      <c r="AJ98" s="75"/>
      <c r="AK98" s="75"/>
      <c r="AL98" s="75"/>
      <c r="AM98" s="76"/>
      <c r="AQ98" s="77"/>
    </row>
    <row r="99" ht="21.9" customHeight="1" spans="1:43" x14ac:dyDescent="0.25">
      <c r="A99" s="62">
        <v>36</v>
      </c>
      <c r="B99" s="70"/>
      <c r="C99" s="75"/>
      <c r="D99" s="75"/>
      <c r="E99" s="75"/>
      <c r="F99" s="75"/>
      <c r="G99" s="62"/>
      <c r="H99" s="62"/>
      <c r="I99" s="62"/>
      <c r="J99" s="62"/>
      <c r="K99" s="62"/>
      <c r="L99" s="62"/>
      <c r="M99" s="62"/>
      <c r="N99" s="62"/>
      <c r="O99" s="62"/>
      <c r="P99" s="62"/>
      <c r="Q99" s="62"/>
      <c r="R99" s="62"/>
      <c r="S99" s="62"/>
      <c r="T99" s="62"/>
      <c r="U99" s="62"/>
      <c r="V99" s="62"/>
      <c r="W99" s="62"/>
      <c r="X99" s="62"/>
      <c r="Y99" s="62"/>
      <c r="Z99" s="62"/>
      <c r="AA99" s="62"/>
      <c r="AB99" s="62"/>
      <c r="AC99" s="62"/>
      <c r="AD99" s="62"/>
      <c r="AE99" s="62"/>
      <c r="AF99" s="72">
        <f t="shared" si="7"/>
      </c>
      <c r="AG99" s="73">
        <f t="shared" si="8"/>
      </c>
      <c r="AH99" s="74"/>
      <c r="AI99" s="75"/>
      <c r="AJ99" s="75"/>
      <c r="AK99" s="75"/>
      <c r="AL99" s="75"/>
      <c r="AM99" s="76"/>
      <c r="AQ99" s="77"/>
    </row>
    <row r="100" ht="21.9" customHeight="1" spans="1:43" x14ac:dyDescent="0.25">
      <c r="A100" s="62">
        <v>37</v>
      </c>
      <c r="B100" s="70"/>
      <c r="C100" s="75"/>
      <c r="D100" s="75"/>
      <c r="E100" s="75"/>
      <c r="F100" s="75"/>
      <c r="G100" s="62"/>
      <c r="H100" s="62"/>
      <c r="I100" s="62"/>
      <c r="J100" s="62"/>
      <c r="K100" s="62"/>
      <c r="L100" s="62"/>
      <c r="M100" s="62"/>
      <c r="N100" s="62"/>
      <c r="O100" s="62"/>
      <c r="P100" s="62"/>
      <c r="Q100" s="62"/>
      <c r="R100" s="62"/>
      <c r="S100" s="62"/>
      <c r="T100" s="62"/>
      <c r="U100" s="62"/>
      <c r="V100" s="62"/>
      <c r="W100" s="62"/>
      <c r="X100" s="62"/>
      <c r="Y100" s="62"/>
      <c r="Z100" s="62"/>
      <c r="AA100" s="62"/>
      <c r="AB100" s="62"/>
      <c r="AC100" s="62"/>
      <c r="AD100" s="62"/>
      <c r="AE100" s="62"/>
      <c r="AF100" s="72">
        <f t="shared" si="7"/>
      </c>
      <c r="AG100" s="73">
        <f t="shared" si="8"/>
      </c>
      <c r="AH100" s="74"/>
      <c r="AI100" s="75"/>
      <c r="AJ100" s="75"/>
      <c r="AK100" s="75"/>
      <c r="AL100" s="75"/>
      <c r="AM100" s="76"/>
      <c r="AQ100" s="77"/>
    </row>
    <row r="101" ht="21.9" customHeight="1" spans="1:43" x14ac:dyDescent="0.25">
      <c r="A101" s="62">
        <v>38</v>
      </c>
      <c r="B101" s="70"/>
      <c r="C101" s="75"/>
      <c r="D101" s="75"/>
      <c r="E101" s="75"/>
      <c r="F101" s="75"/>
      <c r="G101" s="62"/>
      <c r="H101" s="62"/>
      <c r="I101" s="62"/>
      <c r="J101" s="62"/>
      <c r="K101" s="62"/>
      <c r="L101" s="62"/>
      <c r="M101" s="62"/>
      <c r="N101" s="62"/>
      <c r="O101" s="62"/>
      <c r="P101" s="62"/>
      <c r="Q101" s="62"/>
      <c r="R101" s="62"/>
      <c r="S101" s="62"/>
      <c r="T101" s="62"/>
      <c r="U101" s="62"/>
      <c r="V101" s="62"/>
      <c r="W101" s="62"/>
      <c r="X101" s="62"/>
      <c r="Y101" s="62"/>
      <c r="Z101" s="62"/>
      <c r="AA101" s="62"/>
      <c r="AB101" s="62"/>
      <c r="AC101" s="62"/>
      <c r="AD101" s="62"/>
      <c r="AE101" s="62"/>
      <c r="AF101" s="72">
        <f t="shared" si="7"/>
      </c>
      <c r="AG101" s="73">
        <f t="shared" si="8"/>
      </c>
      <c r="AH101" s="74"/>
      <c r="AI101" s="75"/>
      <c r="AJ101" s="75"/>
      <c r="AK101" s="75"/>
      <c r="AL101" s="75"/>
      <c r="AM101" s="76"/>
      <c r="AQ101" s="77"/>
    </row>
    <row r="102" ht="21.9" customHeight="1" spans="1:43" x14ac:dyDescent="0.25">
      <c r="A102" s="62">
        <v>39</v>
      </c>
      <c r="B102" s="70"/>
      <c r="C102" s="75"/>
      <c r="D102" s="75"/>
      <c r="E102" s="75"/>
      <c r="F102" s="75"/>
      <c r="G102" s="62"/>
      <c r="H102" s="62"/>
      <c r="I102" s="62"/>
      <c r="J102" s="62"/>
      <c r="K102" s="62"/>
      <c r="L102" s="62"/>
      <c r="M102" s="62"/>
      <c r="N102" s="62"/>
      <c r="O102" s="62"/>
      <c r="P102" s="62"/>
      <c r="Q102" s="62"/>
      <c r="R102" s="62"/>
      <c r="S102" s="62"/>
      <c r="T102" s="62"/>
      <c r="U102" s="62"/>
      <c r="V102" s="62"/>
      <c r="W102" s="62"/>
      <c r="X102" s="62"/>
      <c r="Y102" s="62"/>
      <c r="Z102" s="62"/>
      <c r="AA102" s="62"/>
      <c r="AB102" s="62"/>
      <c r="AC102" s="62"/>
      <c r="AD102" s="62"/>
      <c r="AE102" s="62"/>
      <c r="AF102" s="72">
        <f t="shared" si="7"/>
      </c>
      <c r="AG102" s="73">
        <f t="shared" si="8"/>
      </c>
      <c r="AH102" s="74"/>
      <c r="AI102" s="75"/>
      <c r="AJ102" s="75"/>
      <c r="AK102" s="75"/>
      <c r="AL102" s="75"/>
      <c r="AM102" s="76"/>
      <c r="AQ102" s="77"/>
    </row>
    <row r="103" ht="21.9" customHeight="1" spans="1:43" x14ac:dyDescent="0.25">
      <c r="A103" s="62">
        <v>40</v>
      </c>
      <c r="B103" s="70"/>
      <c r="C103" s="75"/>
      <c r="D103" s="75"/>
      <c r="E103" s="75"/>
      <c r="F103" s="75"/>
      <c r="G103" s="62"/>
      <c r="H103" s="62"/>
      <c r="I103" s="62"/>
      <c r="J103" s="62"/>
      <c r="K103" s="62"/>
      <c r="L103" s="62"/>
      <c r="M103" s="62"/>
      <c r="N103" s="62"/>
      <c r="O103" s="62"/>
      <c r="P103" s="62"/>
      <c r="Q103" s="62"/>
      <c r="R103" s="62"/>
      <c r="S103" s="62"/>
      <c r="T103" s="62"/>
      <c r="U103" s="62"/>
      <c r="V103" s="62"/>
      <c r="W103" s="62"/>
      <c r="X103" s="62"/>
      <c r="Y103" s="62"/>
      <c r="Z103" s="62"/>
      <c r="AA103" s="62"/>
      <c r="AB103" s="62"/>
      <c r="AC103" s="62"/>
      <c r="AD103" s="62"/>
      <c r="AE103" s="62"/>
      <c r="AF103" s="72">
        <f t="shared" si="7"/>
      </c>
      <c r="AG103" s="73">
        <f t="shared" si="8"/>
      </c>
      <c r="AH103" s="74"/>
      <c r="AI103" s="75"/>
      <c r="AJ103" s="75"/>
      <c r="AK103" s="75"/>
      <c r="AL103" s="75"/>
      <c r="AM103" s="76"/>
      <c r="AQ103" s="77"/>
    </row>
    <row r="104" ht="21.9" customHeight="1" spans="1:43" x14ac:dyDescent="0.25">
      <c r="A104" s="62">
        <v>41</v>
      </c>
      <c r="B104" s="70"/>
      <c r="C104" s="75"/>
      <c r="D104" s="75"/>
      <c r="E104" s="75"/>
      <c r="F104" s="75"/>
      <c r="G104" s="62"/>
      <c r="H104" s="62"/>
      <c r="I104" s="62"/>
      <c r="J104" s="62"/>
      <c r="K104" s="62"/>
      <c r="L104" s="62"/>
      <c r="M104" s="62"/>
      <c r="N104" s="62"/>
      <c r="O104" s="62"/>
      <c r="P104" s="62"/>
      <c r="Q104" s="62"/>
      <c r="R104" s="62"/>
      <c r="S104" s="62"/>
      <c r="T104" s="62"/>
      <c r="U104" s="62"/>
      <c r="V104" s="62"/>
      <c r="W104" s="62"/>
      <c r="X104" s="62"/>
      <c r="Y104" s="62"/>
      <c r="Z104" s="62"/>
      <c r="AA104" s="62"/>
      <c r="AB104" s="62"/>
      <c r="AC104" s="62"/>
      <c r="AD104" s="62"/>
      <c r="AE104" s="62"/>
      <c r="AF104" s="72">
        <f t="shared" si="7"/>
      </c>
      <c r="AG104" s="73">
        <f t="shared" si="8"/>
      </c>
      <c r="AH104" s="74"/>
      <c r="AI104" s="75"/>
      <c r="AJ104" s="75"/>
      <c r="AK104" s="75"/>
      <c r="AL104" s="75"/>
      <c r="AM104" s="76"/>
      <c r="AQ104" s="77"/>
    </row>
    <row r="105" ht="21.9" customHeight="1" spans="1:43" x14ac:dyDescent="0.25">
      <c r="A105" s="62">
        <v>42</v>
      </c>
      <c r="B105" s="78"/>
      <c r="C105" s="75"/>
      <c r="D105" s="75"/>
      <c r="E105" s="75"/>
      <c r="F105" s="75"/>
      <c r="G105" s="62"/>
      <c r="H105" s="62"/>
      <c r="I105" s="62"/>
      <c r="J105" s="62"/>
      <c r="K105" s="62"/>
      <c r="L105" s="62"/>
      <c r="M105" s="62"/>
      <c r="N105" s="62"/>
      <c r="O105" s="62"/>
      <c r="P105" s="62"/>
      <c r="Q105" s="62"/>
      <c r="R105" s="62"/>
      <c r="S105" s="62"/>
      <c r="T105" s="62"/>
      <c r="U105" s="62"/>
      <c r="V105" s="62"/>
      <c r="W105" s="62"/>
      <c r="X105" s="62"/>
      <c r="Y105" s="62"/>
      <c r="Z105" s="62"/>
      <c r="AA105" s="62"/>
      <c r="AB105" s="62"/>
      <c r="AC105" s="62"/>
      <c r="AD105" s="62"/>
      <c r="AE105" s="62"/>
      <c r="AF105" s="72">
        <f t="shared" si="7"/>
      </c>
      <c r="AG105" s="73">
        <f t="shared" si="8"/>
      </c>
      <c r="AH105" s="74"/>
      <c r="AI105" s="75"/>
      <c r="AJ105" s="75"/>
      <c r="AK105" s="75"/>
      <c r="AL105" s="75"/>
      <c r="AM105" s="76"/>
      <c r="AQ105" s="77"/>
    </row>
    <row r="106" ht="21.9" customHeight="1" spans="1:43" x14ac:dyDescent="0.25">
      <c r="A106" s="62">
        <v>43</v>
      </c>
      <c r="B106" s="78"/>
      <c r="C106" s="75"/>
      <c r="D106" s="75"/>
      <c r="E106" s="75"/>
      <c r="F106" s="75"/>
      <c r="G106" s="62"/>
      <c r="H106" s="62"/>
      <c r="I106" s="62"/>
      <c r="J106" s="62"/>
      <c r="K106" s="62"/>
      <c r="L106" s="62"/>
      <c r="M106" s="62"/>
      <c r="N106" s="62"/>
      <c r="O106" s="62"/>
      <c r="P106" s="62"/>
      <c r="Q106" s="62"/>
      <c r="R106" s="62"/>
      <c r="S106" s="62"/>
      <c r="T106" s="62"/>
      <c r="U106" s="62"/>
      <c r="V106" s="62"/>
      <c r="W106" s="62"/>
      <c r="X106" s="62"/>
      <c r="Y106" s="62"/>
      <c r="Z106" s="62"/>
      <c r="AA106" s="62"/>
      <c r="AB106" s="62"/>
      <c r="AC106" s="62"/>
      <c r="AD106" s="62"/>
      <c r="AE106" s="62"/>
      <c r="AF106" s="72">
        <f t="shared" si="7"/>
      </c>
      <c r="AG106" s="73">
        <f t="shared" si="8"/>
      </c>
      <c r="AH106" s="74"/>
      <c r="AI106" s="75"/>
      <c r="AJ106" s="75"/>
      <c r="AK106" s="75"/>
      <c r="AL106" s="75"/>
      <c r="AM106" s="76"/>
      <c r="AQ106" s="77"/>
    </row>
    <row r="107" ht="21.9" customHeight="1" spans="1:43" x14ac:dyDescent="0.25">
      <c r="A107" s="62">
        <v>44</v>
      </c>
      <c r="B107" s="78"/>
      <c r="C107" s="75"/>
      <c r="D107" s="75"/>
      <c r="E107" s="75"/>
      <c r="F107" s="75"/>
      <c r="G107" s="62"/>
      <c r="H107" s="62"/>
      <c r="I107" s="62"/>
      <c r="J107" s="62"/>
      <c r="K107" s="62"/>
      <c r="L107" s="62"/>
      <c r="M107" s="62"/>
      <c r="N107" s="62"/>
      <c r="O107" s="62"/>
      <c r="P107" s="62"/>
      <c r="Q107" s="62"/>
      <c r="R107" s="62"/>
      <c r="S107" s="62"/>
      <c r="T107" s="62"/>
      <c r="U107" s="62"/>
      <c r="V107" s="62"/>
      <c r="W107" s="62"/>
      <c r="X107" s="62"/>
      <c r="Y107" s="62"/>
      <c r="Z107" s="62"/>
      <c r="AA107" s="62"/>
      <c r="AB107" s="62"/>
      <c r="AC107" s="62"/>
      <c r="AD107" s="62"/>
      <c r="AE107" s="62"/>
      <c r="AF107" s="72">
        <f t="shared" si="7"/>
      </c>
      <c r="AG107" s="73">
        <f t="shared" si="8"/>
      </c>
      <c r="AH107" s="74"/>
      <c r="AI107" s="75"/>
      <c r="AJ107" s="75"/>
      <c r="AK107" s="75"/>
      <c r="AL107" s="75"/>
      <c r="AM107" s="76"/>
      <c r="AQ107" s="77"/>
    </row>
    <row r="108" ht="21.9" customHeight="1" spans="1:43" x14ac:dyDescent="0.25">
      <c r="A108" s="62">
        <v>45</v>
      </c>
      <c r="B108" s="78"/>
      <c r="C108" s="75"/>
      <c r="D108" s="75"/>
      <c r="E108" s="75"/>
      <c r="F108" s="75"/>
      <c r="G108" s="62"/>
      <c r="H108" s="62"/>
      <c r="I108" s="62"/>
      <c r="J108" s="62"/>
      <c r="K108" s="62"/>
      <c r="L108" s="62"/>
      <c r="M108" s="62"/>
      <c r="N108" s="62"/>
      <c r="O108" s="62"/>
      <c r="P108" s="62"/>
      <c r="Q108" s="62"/>
      <c r="R108" s="62"/>
      <c r="S108" s="62"/>
      <c r="T108" s="62"/>
      <c r="U108" s="62"/>
      <c r="V108" s="62"/>
      <c r="W108" s="62"/>
      <c r="X108" s="62"/>
      <c r="Y108" s="62"/>
      <c r="Z108" s="62"/>
      <c r="AA108" s="62"/>
      <c r="AB108" s="62"/>
      <c r="AC108" s="62"/>
      <c r="AD108" s="62"/>
      <c r="AE108" s="62"/>
      <c r="AF108" s="72">
        <f t="shared" si="7"/>
      </c>
      <c r="AG108" s="73">
        <f t="shared" si="8"/>
      </c>
      <c r="AH108" s="74"/>
      <c r="AI108" s="75"/>
      <c r="AJ108" s="75"/>
      <c r="AK108" s="75"/>
      <c r="AL108" s="75"/>
      <c r="AM108" s="76"/>
      <c r="AQ108" s="77"/>
    </row>
    <row r="109" ht="21.9" customHeight="1" spans="1:43" x14ac:dyDescent="0.25">
      <c r="A109" s="62">
        <v>46</v>
      </c>
      <c r="B109" s="78"/>
      <c r="C109" s="75"/>
      <c r="D109" s="75"/>
      <c r="E109" s="75"/>
      <c r="F109" s="75"/>
      <c r="G109" s="62"/>
      <c r="H109" s="62"/>
      <c r="I109" s="62"/>
      <c r="J109" s="62"/>
      <c r="K109" s="62"/>
      <c r="L109" s="62"/>
      <c r="M109" s="62"/>
      <c r="N109" s="62"/>
      <c r="O109" s="62"/>
      <c r="P109" s="62"/>
      <c r="Q109" s="62"/>
      <c r="R109" s="62"/>
      <c r="S109" s="62"/>
      <c r="T109" s="62"/>
      <c r="U109" s="62"/>
      <c r="V109" s="62"/>
      <c r="W109" s="62"/>
      <c r="X109" s="62"/>
      <c r="Y109" s="62"/>
      <c r="Z109" s="62"/>
      <c r="AA109" s="62"/>
      <c r="AB109" s="62"/>
      <c r="AC109" s="62"/>
      <c r="AD109" s="62"/>
      <c r="AE109" s="62"/>
      <c r="AF109" s="72">
        <f t="shared" si="7"/>
      </c>
      <c r="AG109" s="73">
        <f t="shared" si="8"/>
      </c>
      <c r="AH109" s="74"/>
      <c r="AI109" s="75"/>
      <c r="AJ109" s="75"/>
      <c r="AK109" s="75"/>
      <c r="AL109" s="75"/>
      <c r="AM109" s="76"/>
      <c r="AQ109" s="77"/>
    </row>
    <row r="110" ht="21.9" customHeight="1" spans="1:43" x14ac:dyDescent="0.25">
      <c r="A110" s="62">
        <v>47</v>
      </c>
      <c r="B110" s="78"/>
      <c r="C110" s="75"/>
      <c r="D110" s="75"/>
      <c r="E110" s="75"/>
      <c r="F110" s="75"/>
      <c r="G110" s="62"/>
      <c r="H110" s="62"/>
      <c r="I110" s="62"/>
      <c r="J110" s="62"/>
      <c r="K110" s="62"/>
      <c r="L110" s="62"/>
      <c r="M110" s="62"/>
      <c r="N110" s="62"/>
      <c r="O110" s="62"/>
      <c r="P110" s="62"/>
      <c r="Q110" s="62"/>
      <c r="R110" s="62"/>
      <c r="S110" s="62"/>
      <c r="T110" s="62"/>
      <c r="U110" s="62"/>
      <c r="V110" s="62"/>
      <c r="W110" s="62"/>
      <c r="X110" s="62"/>
      <c r="Y110" s="62"/>
      <c r="Z110" s="62"/>
      <c r="AA110" s="62"/>
      <c r="AB110" s="62"/>
      <c r="AC110" s="62"/>
      <c r="AD110" s="62"/>
      <c r="AE110" s="62"/>
      <c r="AF110" s="72">
        <f t="shared" si="7"/>
      </c>
      <c r="AG110" s="73">
        <f t="shared" si="8"/>
      </c>
      <c r="AH110" s="74"/>
      <c r="AI110" s="75"/>
      <c r="AJ110" s="75"/>
      <c r="AK110" s="75"/>
      <c r="AL110" s="75"/>
      <c r="AM110" s="76"/>
      <c r="AQ110" s="77"/>
    </row>
    <row r="111" ht="21.9" customHeight="1" spans="1:43" x14ac:dyDescent="0.25">
      <c r="A111" s="62">
        <v>48</v>
      </c>
      <c r="B111" s="78"/>
      <c r="C111" s="75"/>
      <c r="D111" s="75"/>
      <c r="E111" s="75"/>
      <c r="F111" s="75"/>
      <c r="G111" s="62"/>
      <c r="H111" s="62"/>
      <c r="I111" s="62"/>
      <c r="J111" s="62"/>
      <c r="K111" s="62"/>
      <c r="L111" s="62"/>
      <c r="M111" s="62"/>
      <c r="N111" s="62"/>
      <c r="O111" s="62"/>
      <c r="P111" s="62"/>
      <c r="Q111" s="62"/>
      <c r="R111" s="62"/>
      <c r="S111" s="62"/>
      <c r="T111" s="62"/>
      <c r="U111" s="62"/>
      <c r="V111" s="62"/>
      <c r="W111" s="62"/>
      <c r="X111" s="62"/>
      <c r="Y111" s="62"/>
      <c r="Z111" s="62"/>
      <c r="AA111" s="62"/>
      <c r="AB111" s="62"/>
      <c r="AC111" s="62"/>
      <c r="AD111" s="62"/>
      <c r="AE111" s="62"/>
      <c r="AF111" s="72">
        <f t="shared" si="7"/>
      </c>
      <c r="AG111" s="73">
        <f t="shared" si="8"/>
      </c>
      <c r="AH111" s="74"/>
      <c r="AI111" s="75"/>
      <c r="AJ111" s="75"/>
      <c r="AK111" s="75"/>
      <c r="AL111" s="75"/>
      <c r="AM111" s="76"/>
      <c r="AQ111" s="77"/>
    </row>
    <row r="112" ht="21.9" customHeight="1" spans="1:43" x14ac:dyDescent="0.25">
      <c r="A112" s="62">
        <v>49</v>
      </c>
      <c r="B112" s="78"/>
      <c r="C112" s="75"/>
      <c r="D112" s="75"/>
      <c r="E112" s="75"/>
      <c r="F112" s="75"/>
      <c r="G112" s="62"/>
      <c r="H112" s="62"/>
      <c r="I112" s="62"/>
      <c r="J112" s="62"/>
      <c r="K112" s="62"/>
      <c r="L112" s="62"/>
      <c r="M112" s="62"/>
      <c r="N112" s="62"/>
      <c r="O112" s="62"/>
      <c r="P112" s="62"/>
      <c r="Q112" s="62"/>
      <c r="R112" s="62"/>
      <c r="S112" s="62"/>
      <c r="T112" s="62"/>
      <c r="U112" s="62"/>
      <c r="V112" s="62"/>
      <c r="W112" s="62"/>
      <c r="X112" s="62"/>
      <c r="Y112" s="62"/>
      <c r="Z112" s="62"/>
      <c r="AA112" s="62"/>
      <c r="AB112" s="62"/>
      <c r="AC112" s="62"/>
      <c r="AD112" s="62"/>
      <c r="AE112" s="62"/>
      <c r="AF112" s="72">
        <f t="shared" si="7"/>
      </c>
      <c r="AG112" s="73">
        <f t="shared" si="8"/>
      </c>
      <c r="AH112" s="74"/>
      <c r="AI112" s="75"/>
      <c r="AJ112" s="75"/>
      <c r="AK112" s="75"/>
      <c r="AL112" s="75"/>
      <c r="AM112" s="76"/>
      <c r="AQ112" s="77"/>
    </row>
    <row r="113" ht="21.9" customHeight="1" spans="1:43" x14ac:dyDescent="0.25">
      <c r="A113" s="80">
        <v>50</v>
      </c>
      <c r="B113" s="85"/>
      <c r="C113" s="79"/>
      <c r="D113" s="79"/>
      <c r="E113" s="79"/>
      <c r="F113" s="79"/>
      <c r="G113" s="80"/>
      <c r="H113" s="81"/>
      <c r="I113" s="81"/>
      <c r="J113" s="81"/>
      <c r="K113" s="82"/>
      <c r="L113" s="83"/>
      <c r="M113" s="81"/>
      <c r="N113" s="81"/>
      <c r="O113" s="81"/>
      <c r="P113" s="84"/>
      <c r="Q113" s="80"/>
      <c r="R113" s="81"/>
      <c r="S113" s="81"/>
      <c r="T113" s="81"/>
      <c r="U113" s="82"/>
      <c r="V113" s="83"/>
      <c r="W113" s="81"/>
      <c r="X113" s="81"/>
      <c r="Y113" s="81"/>
      <c r="Z113" s="84"/>
      <c r="AA113" s="80"/>
      <c r="AB113" s="81"/>
      <c r="AC113" s="81"/>
      <c r="AD113" s="84"/>
      <c r="AE113" s="82"/>
      <c r="AF113" s="100">
        <f t="shared" si="7"/>
      </c>
      <c r="AG113" s="101">
        <f t="shared" si="8"/>
      </c>
      <c r="AH113" s="102"/>
      <c r="AI113" s="86"/>
      <c r="AJ113" s="86"/>
      <c r="AK113" s="86"/>
      <c r="AL113" s="86"/>
      <c r="AM113" s="87"/>
      <c r="AQ113" s="77"/>
    </row>
    <row r="114" ht="21.9" customHeight="1" spans="1:43" x14ac:dyDescent="0.25">
      <c r="A114" s="103" t="s">
        <v>42</v>
      </c>
      <c r="B114" s="89"/>
      <c r="C114" s="89"/>
      <c r="D114" s="89"/>
      <c r="E114" s="89"/>
      <c r="F114" s="89"/>
      <c r="G114" s="104">
        <f t="shared" ref="G114:AE114" si="9">IF(G10="","",COUNTA($B$64:$B$113)-(COUNTIF(G64:G113,"x")+COUNTIF(G64:G113,"h")*0.5))</f>
        <v>0</v>
      </c>
      <c r="H114" s="91">
        <f t="shared" si="9"/>
        <v>0</v>
      </c>
      <c r="I114" s="91">
        <f t="shared" si="9"/>
        <v>0</v>
      </c>
      <c r="J114" s="91">
        <f t="shared" si="9"/>
        <v>0</v>
      </c>
      <c r="K114" s="92">
        <f t="shared" si="9"/>
        <v>0</v>
      </c>
      <c r="L114" s="104">
        <f t="shared" si="9"/>
        <v>0</v>
      </c>
      <c r="M114" s="91">
        <f t="shared" si="9"/>
        <v>0</v>
      </c>
      <c r="N114" s="91">
        <f t="shared" si="9"/>
        <v>0</v>
      </c>
      <c r="O114" s="91">
        <f t="shared" si="9"/>
        <v>0</v>
      </c>
      <c r="P114" s="92">
        <f t="shared" si="9"/>
        <v>0</v>
      </c>
      <c r="Q114" s="104">
        <f t="shared" si="9"/>
        <v>0</v>
      </c>
      <c r="R114" s="91">
        <f t="shared" si="9"/>
        <v>0</v>
      </c>
      <c r="S114" s="91">
        <f t="shared" si="9"/>
        <v>0</v>
      </c>
      <c r="T114" s="91">
        <f t="shared" si="9"/>
        <v>0</v>
      </c>
      <c r="U114" s="92">
        <f t="shared" si="9"/>
        <v>0</v>
      </c>
      <c r="V114" s="104">
        <f t="shared" si="9"/>
        <v>0</v>
      </c>
      <c r="W114" s="91">
        <f t="shared" si="9"/>
        <v>0</v>
      </c>
      <c r="X114" s="91">
        <f t="shared" si="9"/>
        <v>0</v>
      </c>
      <c r="Y114" s="91">
        <f t="shared" si="9"/>
        <v>0</v>
      </c>
      <c r="Z114" s="92">
        <f t="shared" si="9"/>
        <v>0</v>
      </c>
      <c r="AA114" s="104">
        <f t="shared" si="9"/>
        <v>0</v>
      </c>
      <c r="AB114" s="91">
        <f t="shared" si="9"/>
      </c>
      <c r="AC114" s="91">
        <f t="shared" si="9"/>
      </c>
      <c r="AD114" s="91">
        <f t="shared" si="9"/>
      </c>
      <c r="AE114" s="92">
        <f t="shared" si="9"/>
      </c>
      <c r="AF114" s="93">
        <f>SUM(AF64:AF113)</f>
        <v>0</v>
      </c>
      <c r="AG114" s="94">
        <f>SUM(AG64:AG113)</f>
        <v>0</v>
      </c>
      <c r="AH114" s="105"/>
      <c r="AI114" s="106"/>
      <c r="AJ114" s="106"/>
      <c r="AK114" s="106"/>
      <c r="AL114" s="106"/>
      <c r="AM114" s="107"/>
      <c r="AQ114" s="1"/>
    </row>
    <row r="115" ht="21.9" customHeight="1" spans="1:43" x14ac:dyDescent="0.25">
      <c r="A115" s="108" t="s">
        <v>43</v>
      </c>
      <c r="B115" s="108"/>
      <c r="C115" s="109"/>
      <c r="D115" s="109"/>
      <c r="E115" s="109"/>
      <c r="F115" s="109"/>
      <c r="G115" s="110">
        <f t="shared" ref="G115:AE115" si="10">IF(G10="","",G63+G114)</f>
        <v>0</v>
      </c>
      <c r="H115" s="111">
        <f t="shared" si="10"/>
        <v>0</v>
      </c>
      <c r="I115" s="111">
        <f t="shared" si="10"/>
        <v>0</v>
      </c>
      <c r="J115" s="111">
        <f t="shared" si="10"/>
        <v>0</v>
      </c>
      <c r="K115" s="112">
        <f t="shared" si="10"/>
        <v>0</v>
      </c>
      <c r="L115" s="110">
        <f t="shared" si="10"/>
        <v>0</v>
      </c>
      <c r="M115" s="111">
        <f t="shared" si="10"/>
        <v>0</v>
      </c>
      <c r="N115" s="111">
        <f t="shared" si="10"/>
        <v>0</v>
      </c>
      <c r="O115" s="111">
        <f t="shared" si="10"/>
        <v>0</v>
      </c>
      <c r="P115" s="112">
        <f t="shared" si="10"/>
        <v>0</v>
      </c>
      <c r="Q115" s="110">
        <f t="shared" si="10"/>
        <v>0</v>
      </c>
      <c r="R115" s="111">
        <f t="shared" si="10"/>
        <v>0</v>
      </c>
      <c r="S115" s="111">
        <f t="shared" si="10"/>
        <v>0</v>
      </c>
      <c r="T115" s="111">
        <f t="shared" si="10"/>
        <v>0</v>
      </c>
      <c r="U115" s="112">
        <f t="shared" si="10"/>
        <v>0</v>
      </c>
      <c r="V115" s="110">
        <f t="shared" si="10"/>
        <v>0</v>
      </c>
      <c r="W115" s="111">
        <f t="shared" si="10"/>
        <v>0</v>
      </c>
      <c r="X115" s="111">
        <f t="shared" si="10"/>
        <v>0</v>
      </c>
      <c r="Y115" s="111">
        <f t="shared" si="10"/>
        <v>0</v>
      </c>
      <c r="Z115" s="112">
        <f t="shared" si="10"/>
        <v>0</v>
      </c>
      <c r="AA115" s="110">
        <f t="shared" si="10"/>
        <v>0</v>
      </c>
      <c r="AB115" s="111">
        <f t="shared" si="10"/>
      </c>
      <c r="AC115" s="111">
        <f t="shared" si="10"/>
      </c>
      <c r="AD115" s="111">
        <f t="shared" si="10"/>
      </c>
      <c r="AE115" s="112">
        <f t="shared" si="10"/>
      </c>
      <c r="AF115" s="113">
        <f>AF63+AF114</f>
        <v>0</v>
      </c>
      <c r="AG115" s="114">
        <f>AG63+AG114</f>
        <v>0</v>
      </c>
      <c r="AH115" s="115"/>
      <c r="AI115" s="116"/>
      <c r="AJ115" s="116"/>
      <c r="AK115" s="116"/>
      <c r="AL115" s="116"/>
      <c r="AM115" s="117"/>
      <c r="AQ115" s="1"/>
    </row>
    <row r="116" ht="6.75" customHeight="1" spans="1:43" x14ac:dyDescent="0.25">
      <c r="A116" s="118"/>
      <c r="B116" s="118"/>
      <c r="C116" s="118"/>
      <c r="D116" s="118"/>
      <c r="E116" s="118"/>
      <c r="F116" s="118"/>
      <c r="G116" s="119"/>
      <c r="H116" s="1"/>
      <c r="I116" s="1"/>
      <c r="J116" s="1"/>
      <c r="K116" s="1"/>
      <c r="L116" s="1"/>
      <c r="M116" s="1"/>
      <c r="N116" s="1"/>
      <c r="O116" s="1"/>
      <c r="P116" s="1"/>
      <c r="Q116" s="1"/>
      <c r="R116" s="1"/>
      <c r="S116" s="1"/>
      <c r="T116" s="1"/>
      <c r="U116" s="1"/>
      <c r="V116" s="1"/>
      <c r="W116" s="1"/>
      <c r="X116" s="1"/>
      <c r="Y116" s="1"/>
      <c r="Z116" s="1"/>
      <c r="AA116" s="1"/>
      <c r="AQ116" s="1"/>
    </row>
    <row r="117" ht="35.25" customHeight="1" spans="1:43" x14ac:dyDescent="0.25">
      <c r="A117" s="120" t="s">
        <v>44</v>
      </c>
      <c r="B117" s="121"/>
      <c r="C117" s="121"/>
      <c r="D117" s="121"/>
      <c r="E117" s="121"/>
      <c r="F117" s="121"/>
      <c r="G117" s="122"/>
      <c r="H117" s="122"/>
      <c r="I117" s="122"/>
      <c r="J117" s="122"/>
      <c r="K117" s="122"/>
      <c r="L117" s="122"/>
      <c r="M117" s="122"/>
      <c r="N117" s="122"/>
      <c r="O117" s="122"/>
      <c r="P117" s="122"/>
      <c r="Q117" s="122"/>
      <c r="R117" s="122"/>
      <c r="S117" s="123"/>
      <c r="T117" s="124" t="s">
        <v>45</v>
      </c>
      <c r="U117" s="125"/>
      <c r="V117" s="125"/>
      <c r="W117" s="125"/>
      <c r="X117" s="125"/>
      <c r="Y117" s="126"/>
      <c r="Z117" s="126"/>
      <c r="AA117" s="126"/>
      <c r="AB117" s="127"/>
      <c r="AC117" s="128"/>
      <c r="AE117" s="129" t="s">
        <v>46</v>
      </c>
      <c r="AF117" s="130"/>
      <c r="AG117" s="131">
        <f>AA6</f>
        <v>NaN</v>
      </c>
      <c r="AH117" s="132" t="s">
        <v>47</v>
      </c>
      <c r="AI117" s="133"/>
      <c r="AJ117" s="134">
        <f>AQ9</f>
        <v>21</v>
      </c>
      <c r="AK117" s="135" t="s">
        <v>48</v>
      </c>
      <c r="AL117" s="135"/>
      <c r="AM117" s="136"/>
      <c r="AQ117" s="1"/>
    </row>
    <row r="118" ht="15" customHeight="1" spans="1:43" x14ac:dyDescent="0.25">
      <c r="A118" s="137" t="s">
        <v>49</v>
      </c>
      <c r="B118" s="137"/>
      <c r="C118" s="137"/>
      <c r="D118" s="137"/>
      <c r="E118" s="137"/>
      <c r="F118" s="137"/>
      <c r="G118" s="1"/>
      <c r="H118" s="1"/>
      <c r="I118" s="1"/>
      <c r="J118" s="1"/>
      <c r="K118" s="1"/>
      <c r="L118" s="1"/>
      <c r="M118" s="1"/>
      <c r="N118" s="1"/>
      <c r="O118" s="1"/>
      <c r="P118" s="1"/>
      <c r="Q118" s="1"/>
      <c r="R118" s="122"/>
      <c r="S118" s="123"/>
      <c r="T118" s="138" t="s">
        <v>50</v>
      </c>
      <c r="U118" s="1"/>
      <c r="V118" s="1"/>
      <c r="W118" s="1"/>
      <c r="X118" s="1"/>
      <c r="Y118" s="1"/>
      <c r="Z118" s="1"/>
      <c r="AA118" s="1"/>
      <c r="AB118" s="139"/>
      <c r="AC118" s="140"/>
      <c r="AE118" s="141"/>
      <c r="AF118" s="142"/>
      <c r="AG118" s="143"/>
      <c r="AH118" s="144"/>
      <c r="AI118" s="145"/>
      <c r="AJ118" s="146"/>
      <c r="AK118" s="147" t="s">
        <v>16</v>
      </c>
      <c r="AL118" s="148" t="s">
        <v>20</v>
      </c>
      <c r="AM118" s="149" t="s">
        <v>51</v>
      </c>
      <c r="AQ118" s="1"/>
    </row>
    <row r="119" ht="15.5" customHeight="1" spans="1:43" x14ac:dyDescent="0.25">
      <c r="A119" s="137" t="s">
        <v>52</v>
      </c>
      <c r="B119" s="137"/>
      <c r="C119" s="137"/>
      <c r="D119" s="137"/>
      <c r="E119" s="137"/>
      <c r="F119" s="137"/>
      <c r="G119" s="1"/>
      <c r="H119" s="1"/>
      <c r="I119" s="1"/>
      <c r="J119" s="1"/>
      <c r="K119" s="1"/>
      <c r="L119" s="1"/>
      <c r="M119" s="1"/>
      <c r="N119" s="1"/>
      <c r="O119" s="1"/>
      <c r="P119" s="1"/>
      <c r="Q119" s="1"/>
      <c r="R119" s="122"/>
      <c r="S119" s="123"/>
      <c r="T119" s="1"/>
      <c r="U119" s="1"/>
      <c r="V119" s="1"/>
      <c r="W119" s="1"/>
      <c r="X119" s="1"/>
      <c r="Y119" s="1"/>
      <c r="Z119" s="1"/>
      <c r="AA119" s="1"/>
      <c r="AB119" s="150"/>
      <c r="AC119" s="140"/>
      <c r="AE119" s="151" t="s">
        <v>53</v>
      </c>
      <c r="AF119" s="152"/>
      <c r="AG119" s="152"/>
      <c r="AH119" s="152"/>
      <c r="AI119" s="152"/>
      <c r="AJ119" s="153"/>
      <c r="AK119" s="154"/>
      <c r="AL119" s="154"/>
      <c r="AM119" s="155">
        <f t="shared" ref="AM119:AM123" si="11">AK119+AL119</f>
        <v>0</v>
      </c>
      <c r="AQ119" s="1"/>
    </row>
    <row r="120" ht="15.75" customHeight="1" spans="1:43" x14ac:dyDescent="0.25">
      <c r="A120" s="137" t="s">
        <v>54</v>
      </c>
      <c r="B120" s="137"/>
      <c r="C120" s="137"/>
      <c r="D120" s="137"/>
      <c r="E120" s="137"/>
      <c r="F120" s="137"/>
      <c r="G120" s="1"/>
      <c r="H120" s="1"/>
      <c r="I120" s="1"/>
      <c r="J120" s="1"/>
      <c r="K120" s="1"/>
      <c r="L120" s="1"/>
      <c r="M120" s="1"/>
      <c r="N120" s="1"/>
      <c r="O120" s="1"/>
      <c r="P120" s="1"/>
      <c r="Q120" s="1"/>
      <c r="R120" s="122"/>
      <c r="S120" s="123"/>
      <c r="T120" s="1"/>
      <c r="U120" s="1"/>
      <c r="V120" s="1"/>
      <c r="W120" s="1"/>
      <c r="X120" s="1"/>
      <c r="Y120" s="1"/>
      <c r="Z120" s="1"/>
      <c r="AA120" s="1"/>
      <c r="AB120" s="150"/>
      <c r="AC120" s="140"/>
      <c r="AE120" s="156"/>
      <c r="AF120" s="157"/>
      <c r="AG120" s="157"/>
      <c r="AH120" s="157"/>
      <c r="AI120" s="157"/>
      <c r="AJ120" s="158"/>
      <c r="AK120" s="31"/>
      <c r="AL120" s="31"/>
      <c r="AM120" s="159"/>
      <c r="AQ120" s="1"/>
    </row>
    <row r="121" ht="15.75" customHeight="1" spans="1:43" x14ac:dyDescent="0.25">
      <c r="A121" s="160" t="s">
        <v>55</v>
      </c>
      <c r="B121" s="161" t="s">
        <v>56</v>
      </c>
      <c r="C121" s="161"/>
      <c r="D121" s="161"/>
      <c r="E121" s="161"/>
      <c r="F121" s="161"/>
      <c r="G121" s="162" t="s">
        <v>57</v>
      </c>
      <c r="H121" s="1"/>
      <c r="I121" s="1"/>
      <c r="J121" s="1"/>
      <c r="K121" s="1"/>
      <c r="L121" s="1"/>
      <c r="M121" s="1"/>
      <c r="N121" s="1"/>
      <c r="O121" s="1"/>
      <c r="P121" s="1"/>
      <c r="Q121" s="163" t="s">
        <v>58</v>
      </c>
      <c r="R121" s="1"/>
      <c r="S121" s="123"/>
      <c r="T121" s="164" t="s">
        <v>59</v>
      </c>
      <c r="U121" s="1"/>
      <c r="V121" s="1"/>
      <c r="W121" s="1"/>
      <c r="X121" s="1"/>
      <c r="Y121" s="3"/>
      <c r="Z121" s="1"/>
      <c r="AA121" s="1"/>
      <c r="AB121" s="165"/>
      <c r="AC121" s="140"/>
      <c r="AE121" s="166" t="s">
        <v>60</v>
      </c>
      <c r="AF121" s="167"/>
      <c r="AG121" s="167"/>
      <c r="AH121" s="167"/>
      <c r="AI121" s="167"/>
      <c r="AJ121" s="167"/>
      <c r="AK121" s="168">
        <v>0</v>
      </c>
      <c r="AL121" s="168">
        <v>0</v>
      </c>
      <c r="AM121" s="169">
        <f t="shared" si="11"/>
        <v>0</v>
      </c>
      <c r="AQ121" s="1"/>
    </row>
    <row r="122" ht="15.75" customHeight="1" spans="1:43" x14ac:dyDescent="0.25">
      <c r="A122" s="160"/>
      <c r="B122" s="161"/>
      <c r="C122" s="161"/>
      <c r="D122" s="161"/>
      <c r="E122" s="161"/>
      <c r="F122" s="161"/>
      <c r="G122" s="170" t="s">
        <v>61</v>
      </c>
      <c r="H122" s="1"/>
      <c r="I122" s="1"/>
      <c r="J122" s="1"/>
      <c r="K122" s="1"/>
      <c r="L122" s="1"/>
      <c r="M122" s="1"/>
      <c r="N122" s="1"/>
      <c r="O122" s="1"/>
      <c r="P122" s="1"/>
      <c r="Q122" s="1"/>
      <c r="R122" s="1"/>
      <c r="S122" s="123"/>
      <c r="T122" s="164" t="s">
        <v>62</v>
      </c>
      <c r="U122" s="3"/>
      <c r="V122" s="3"/>
      <c r="W122" s="3"/>
      <c r="X122" s="3"/>
      <c r="Y122" s="3"/>
      <c r="Z122" s="1"/>
      <c r="AA122" s="1"/>
      <c r="AB122" s="165"/>
      <c r="AC122" s="140"/>
      <c r="AE122" s="166"/>
      <c r="AF122" s="167"/>
      <c r="AG122" s="167"/>
      <c r="AH122" s="167"/>
      <c r="AI122" s="167"/>
      <c r="AJ122" s="167"/>
      <c r="AK122" s="168"/>
      <c r="AL122" s="168"/>
      <c r="AM122" s="169"/>
      <c r="AQ122" s="1"/>
    </row>
    <row r="123" ht="18" customHeight="1" spans="1:43" x14ac:dyDescent="0.25">
      <c r="A123" s="160" t="s">
        <v>63</v>
      </c>
      <c r="B123" s="171" t="s">
        <v>64</v>
      </c>
      <c r="C123" s="171"/>
      <c r="D123" s="171"/>
      <c r="E123" s="171"/>
      <c r="F123" s="171"/>
      <c r="G123" s="172" t="s">
        <v>65</v>
      </c>
      <c r="H123" s="1"/>
      <c r="I123" s="1"/>
      <c r="J123" s="1"/>
      <c r="K123" s="1"/>
      <c r="L123" s="1"/>
      <c r="M123" s="1"/>
      <c r="N123" s="1"/>
      <c r="O123" s="1"/>
      <c r="P123" s="1"/>
      <c r="Q123" s="173"/>
      <c r="R123" s="122"/>
      <c r="S123" s="123"/>
      <c r="T123" s="174" t="s">
        <v>66</v>
      </c>
      <c r="U123" s="3"/>
      <c r="V123" s="3"/>
      <c r="W123" s="3"/>
      <c r="X123" s="3"/>
      <c r="Y123" s="3"/>
      <c r="Z123" s="1"/>
      <c r="AA123" s="1"/>
      <c r="AB123" s="165"/>
      <c r="AC123" s="140"/>
      <c r="AE123" s="166" t="s">
        <v>67</v>
      </c>
      <c r="AF123" s="167"/>
      <c r="AG123" s="167"/>
      <c r="AH123" s="167"/>
      <c r="AI123" s="167"/>
      <c r="AJ123" s="167"/>
      <c r="AK123" s="175">
        <f>COUNTA($B$13:$B$62)</f>
        <v>0</v>
      </c>
      <c r="AL123" s="175">
        <f>COUNTA($B$64:$B$113)</f>
        <v>0</v>
      </c>
      <c r="AM123" s="155">
        <f t="shared" si="11"/>
        <v>0</v>
      </c>
      <c r="AQ123" s="1"/>
    </row>
    <row r="124" ht="14.25" customHeight="1" spans="1:43" x14ac:dyDescent="0.25">
      <c r="A124" s="160"/>
      <c r="B124" s="171"/>
      <c r="C124" s="171"/>
      <c r="D124" s="171"/>
      <c r="E124" s="171"/>
      <c r="F124" s="171"/>
      <c r="G124" s="170" t="s">
        <v>68</v>
      </c>
      <c r="H124" s="1"/>
      <c r="I124" s="1"/>
      <c r="J124" s="1"/>
      <c r="K124" s="1"/>
      <c r="L124" s="1"/>
      <c r="M124" s="1"/>
      <c r="N124" s="1"/>
      <c r="O124" s="1"/>
      <c r="P124" s="1"/>
      <c r="Q124" s="122"/>
      <c r="R124" s="122"/>
      <c r="S124" s="123"/>
      <c r="T124" s="174" t="s">
        <v>69</v>
      </c>
      <c r="U124" s="1"/>
      <c r="V124" s="1"/>
      <c r="W124" s="1"/>
      <c r="X124" s="1"/>
      <c r="Y124" s="3"/>
      <c r="Z124" s="1"/>
      <c r="AA124" s="1"/>
      <c r="AB124" s="165"/>
      <c r="AC124" s="140"/>
      <c r="AE124" s="166"/>
      <c r="AF124" s="167"/>
      <c r="AG124" s="167"/>
      <c r="AH124" s="167"/>
      <c r="AI124" s="167"/>
      <c r="AJ124" s="167"/>
      <c r="AK124" s="176"/>
      <c r="AL124" s="176"/>
      <c r="AM124" s="159"/>
      <c r="AQ124" s="1"/>
    </row>
    <row r="125" ht="15.75" customHeight="1" spans="1:43" x14ac:dyDescent="0.25">
      <c r="A125" s="177" t="s">
        <v>70</v>
      </c>
      <c r="B125" s="161" t="s">
        <v>71</v>
      </c>
      <c r="C125" s="161"/>
      <c r="D125" s="161"/>
      <c r="E125" s="161"/>
      <c r="F125" s="161"/>
      <c r="G125" s="162" t="s">
        <v>72</v>
      </c>
      <c r="H125" s="1"/>
      <c r="I125" s="1"/>
      <c r="J125" s="1"/>
      <c r="K125" s="1"/>
      <c r="L125" s="1"/>
      <c r="M125" s="1"/>
      <c r="N125" s="1"/>
      <c r="O125" s="1"/>
      <c r="P125" s="1"/>
      <c r="Q125" s="163" t="s">
        <v>58</v>
      </c>
      <c r="R125" s="1"/>
      <c r="S125" s="123"/>
      <c r="T125" s="174" t="s">
        <v>73</v>
      </c>
      <c r="U125" s="1"/>
      <c r="V125" s="1"/>
      <c r="W125" s="1"/>
      <c r="X125" s="1"/>
      <c r="Y125" s="1"/>
      <c r="Z125" s="1"/>
      <c r="AA125" s="1"/>
      <c r="AB125" s="165"/>
      <c r="AC125" s="140"/>
      <c r="AE125" s="178" t="s">
        <v>74</v>
      </c>
      <c r="AF125" s="179"/>
      <c r="AG125" s="179"/>
      <c r="AH125" s="179"/>
      <c r="AI125" s="179"/>
      <c r="AJ125" s="179"/>
      <c r="AK125" s="180" t="e">
        <f t="shared" ref="AK125:AM125" si="12">AK123/AK119</f>
        <v>#DIV/0!</v>
      </c>
      <c r="AL125" s="180" t="e">
        <f t="shared" si="12"/>
        <v>#DIV/0!</v>
      </c>
      <c r="AM125" s="181" t="e">
        <f t="shared" si="12"/>
        <v>#DIV/0!</v>
      </c>
      <c r="AQ125" s="1"/>
    </row>
    <row r="126" ht="19.5" customHeight="1" spans="1:43" x14ac:dyDescent="0.25">
      <c r="A126" s="177"/>
      <c r="B126" s="161"/>
      <c r="C126" s="161"/>
      <c r="D126" s="161"/>
      <c r="E126" s="161"/>
      <c r="F126" s="161"/>
      <c r="G126" s="163" t="s">
        <v>75</v>
      </c>
      <c r="H126" s="1"/>
      <c r="I126" s="1"/>
      <c r="J126" s="1"/>
      <c r="K126" s="1"/>
      <c r="L126" s="1"/>
      <c r="M126" s="1"/>
      <c r="N126" s="1"/>
      <c r="O126" s="1"/>
      <c r="P126" s="1"/>
      <c r="Q126" s="1"/>
      <c r="R126" s="1"/>
      <c r="S126" s="123"/>
      <c r="T126" s="174" t="s">
        <v>76</v>
      </c>
      <c r="U126" s="1"/>
      <c r="V126" s="1"/>
      <c r="W126" s="1"/>
      <c r="X126" s="1"/>
      <c r="Y126" s="1"/>
      <c r="Z126" s="1"/>
      <c r="AA126" s="1"/>
      <c r="AB126" s="165"/>
      <c r="AC126" s="140"/>
      <c r="AE126" s="178"/>
      <c r="AF126" s="179"/>
      <c r="AG126" s="179"/>
      <c r="AH126" s="179"/>
      <c r="AI126" s="179"/>
      <c r="AJ126" s="179"/>
      <c r="AK126" s="182"/>
      <c r="AL126" s="182"/>
      <c r="AM126" s="183"/>
      <c r="AQ126" s="1"/>
    </row>
    <row r="127" ht="26.25" customHeight="1" spans="1:43" x14ac:dyDescent="0.25">
      <c r="A127" s="137"/>
      <c r="B127" s="137"/>
      <c r="C127" s="137"/>
      <c r="D127" s="137"/>
      <c r="E127" s="137"/>
      <c r="F127" s="137"/>
      <c r="G127" s="1"/>
      <c r="H127" s="1"/>
      <c r="I127" s="1"/>
      <c r="J127" s="1"/>
      <c r="K127" s="1"/>
      <c r="L127" s="1"/>
      <c r="M127" s="1"/>
      <c r="N127" s="1"/>
      <c r="O127" s="1"/>
      <c r="P127" s="163"/>
      <c r="Q127" s="163"/>
      <c r="R127" s="122"/>
      <c r="S127" s="123"/>
      <c r="T127" s="164" t="s">
        <v>77</v>
      </c>
      <c r="U127" s="1"/>
      <c r="V127" s="1"/>
      <c r="W127" s="1"/>
      <c r="X127" s="1"/>
      <c r="Y127" s="1"/>
      <c r="Z127" s="1"/>
      <c r="AA127" s="1"/>
      <c r="AB127" s="3"/>
      <c r="AC127" s="140"/>
      <c r="AE127" s="184" t="s">
        <v>78</v>
      </c>
      <c r="AF127" s="185"/>
      <c r="AG127" s="185"/>
      <c r="AH127" s="185"/>
      <c r="AI127" s="185"/>
      <c r="AJ127" s="185"/>
      <c r="AK127" s="186">
        <f>AG63/AJ117</f>
        <v>0</v>
      </c>
      <c r="AL127" s="186">
        <f>AG114/AJ117</f>
        <v>0</v>
      </c>
      <c r="AM127" s="187">
        <f>AG115/AJ117</f>
        <v>0</v>
      </c>
      <c r="AQ127" s="1"/>
    </row>
    <row r="128" ht="16.5" customHeight="1" spans="1:43" x14ac:dyDescent="0.25">
      <c r="A128" s="188" t="s">
        <v>79</v>
      </c>
      <c r="B128" s="188"/>
      <c r="C128" s="188"/>
      <c r="D128" s="188"/>
      <c r="E128" s="188"/>
      <c r="F128" s="188"/>
      <c r="G128" s="1"/>
      <c r="H128" s="1"/>
      <c r="I128" s="1"/>
      <c r="J128" s="1"/>
      <c r="K128" s="1"/>
      <c r="L128" s="1"/>
      <c r="M128" s="1"/>
      <c r="N128" s="1"/>
      <c r="O128" s="1"/>
      <c r="P128" s="1"/>
      <c r="Q128" s="1"/>
      <c r="R128" s="173"/>
      <c r="S128" s="123"/>
      <c r="T128" s="174" t="s">
        <v>80</v>
      </c>
      <c r="U128" s="1"/>
      <c r="V128" s="1"/>
      <c r="W128" s="1"/>
      <c r="X128" s="1"/>
      <c r="Y128" s="1"/>
      <c r="Z128" s="1"/>
      <c r="AA128" s="1"/>
      <c r="AB128" s="165"/>
      <c r="AC128" s="140"/>
      <c r="AE128" s="166" t="s">
        <v>81</v>
      </c>
      <c r="AF128" s="167"/>
      <c r="AG128" s="167"/>
      <c r="AH128" s="167"/>
      <c r="AI128" s="167"/>
      <c r="AJ128" s="167"/>
      <c r="AK128" s="189" t="e">
        <f t="shared" ref="AK128:AM128" si="13">AK127/AK123</f>
        <v>#DIV/0!</v>
      </c>
      <c r="AL128" s="189" t="e">
        <f t="shared" si="13"/>
        <v>#DIV/0!</v>
      </c>
      <c r="AM128" s="190" t="e">
        <f t="shared" si="13"/>
        <v>#DIV/0!</v>
      </c>
      <c r="AQ128" s="1"/>
    </row>
    <row r="129" ht="15.75" customHeight="1" spans="1:43" x14ac:dyDescent="0.25">
      <c r="A129" s="188"/>
      <c r="B129" s="188"/>
      <c r="C129" s="188"/>
      <c r="D129" s="188"/>
      <c r="E129" s="188"/>
      <c r="F129" s="188"/>
      <c r="G129" s="1"/>
      <c r="H129" s="1"/>
      <c r="I129" s="1"/>
      <c r="J129" s="1"/>
      <c r="K129" s="1"/>
      <c r="L129" s="1"/>
      <c r="M129" s="1"/>
      <c r="N129" s="1"/>
      <c r="O129" s="1"/>
      <c r="P129" s="1"/>
      <c r="Q129" s="1"/>
      <c r="R129" s="173"/>
      <c r="S129" s="123"/>
      <c r="T129" s="174" t="s">
        <v>82</v>
      </c>
      <c r="U129" s="1"/>
      <c r="V129" s="1"/>
      <c r="W129" s="1"/>
      <c r="X129" s="1"/>
      <c r="Y129" s="1"/>
      <c r="Z129" s="1"/>
      <c r="AA129" s="1"/>
      <c r="AB129" s="165"/>
      <c r="AC129" s="140"/>
      <c r="AE129" s="166"/>
      <c r="AF129" s="167"/>
      <c r="AG129" s="167"/>
      <c r="AH129" s="167"/>
      <c r="AI129" s="167"/>
      <c r="AJ129" s="167"/>
      <c r="AK129" s="176"/>
      <c r="AL129" s="189"/>
      <c r="AM129" s="190"/>
      <c r="AQ129" s="1"/>
    </row>
    <row r="130" ht="15.75" customHeight="1" spans="1:43" x14ac:dyDescent="0.25">
      <c r="A130" s="191" t="s">
        <v>83</v>
      </c>
      <c r="B130" s="191"/>
      <c r="C130" s="191"/>
      <c r="D130" s="191"/>
      <c r="E130" s="191"/>
      <c r="F130" s="191"/>
      <c r="G130" s="1"/>
      <c r="H130" s="1"/>
      <c r="I130" s="1"/>
      <c r="J130" s="1"/>
      <c r="K130" s="1"/>
      <c r="L130" s="1"/>
      <c r="M130" s="1"/>
      <c r="N130" s="1"/>
      <c r="O130" s="1"/>
      <c r="P130" s="1"/>
      <c r="Q130" s="1"/>
      <c r="R130" s="1"/>
      <c r="S130" s="123"/>
      <c r="T130" s="174" t="s">
        <v>84</v>
      </c>
      <c r="U130" s="1"/>
      <c r="V130" s="1"/>
      <c r="W130" s="1"/>
      <c r="X130" s="1"/>
      <c r="Y130" s="1"/>
      <c r="Z130" s="1"/>
      <c r="AA130" s="1"/>
      <c r="AB130" s="165"/>
      <c r="AC130" s="140"/>
      <c r="AD130" s="192"/>
      <c r="AE130" s="166" t="s">
        <v>85</v>
      </c>
      <c r="AF130" s="167"/>
      <c r="AG130" s="167"/>
      <c r="AH130" s="167"/>
      <c r="AI130" s="167"/>
      <c r="AJ130" s="167"/>
      <c r="AK130" s="193">
        <v>0</v>
      </c>
      <c r="AL130" s="193">
        <v>0</v>
      </c>
      <c r="AM130" s="194">
        <f t="shared" ref="AM130:AM134" si="14">AK130+AL130</f>
        <v>0</v>
      </c>
      <c r="AQ130" s="1"/>
    </row>
    <row r="131" ht="16.5" customHeight="1" spans="1:43" x14ac:dyDescent="0.25">
      <c r="A131" s="191"/>
      <c r="B131" s="191"/>
      <c r="C131" s="191"/>
      <c r="D131" s="191"/>
      <c r="E131" s="191"/>
      <c r="F131" s="191"/>
      <c r="G131" s="1"/>
      <c r="H131" s="1"/>
      <c r="I131" s="1"/>
      <c r="J131" s="1"/>
      <c r="K131" s="1"/>
      <c r="L131" s="1"/>
      <c r="M131" s="1"/>
      <c r="N131" s="1"/>
      <c r="O131" s="1"/>
      <c r="P131" s="1"/>
      <c r="Q131" s="1"/>
      <c r="R131" s="1"/>
      <c r="S131" s="123"/>
      <c r="T131" s="174" t="s">
        <v>86</v>
      </c>
      <c r="U131" s="1"/>
      <c r="V131" s="1"/>
      <c r="W131" s="1"/>
      <c r="X131" s="1"/>
      <c r="Y131" s="1"/>
      <c r="Z131" s="1"/>
      <c r="AA131" s="1"/>
      <c r="AB131" s="3"/>
      <c r="AC131" s="140"/>
      <c r="AE131" s="166"/>
      <c r="AF131" s="167"/>
      <c r="AG131" s="167"/>
      <c r="AH131" s="167"/>
      <c r="AI131" s="167"/>
      <c r="AJ131" s="167"/>
      <c r="AK131" s="154"/>
      <c r="AL131" s="154"/>
      <c r="AM131" s="155"/>
      <c r="AQ131" s="1"/>
    </row>
    <row r="132" ht="14.25" customHeight="1" spans="1:43" x14ac:dyDescent="0.25">
      <c r="A132" s="122" t="s">
        <v>87</v>
      </c>
      <c r="B132" s="188"/>
      <c r="C132" s="188"/>
      <c r="D132" s="188"/>
      <c r="E132" s="188"/>
      <c r="F132" s="188"/>
      <c r="G132" s="195"/>
      <c r="H132" s="195"/>
      <c r="I132" s="195"/>
      <c r="J132" s="195"/>
      <c r="K132" s="195"/>
      <c r="L132" s="195"/>
      <c r="M132" s="195"/>
      <c r="N132" s="195"/>
      <c r="O132" s="195"/>
      <c r="P132" s="195"/>
      <c r="Q132" s="195"/>
      <c r="R132" s="173"/>
      <c r="S132" s="123"/>
      <c r="T132" s="174" t="s">
        <v>88</v>
      </c>
      <c r="U132" s="1"/>
      <c r="V132" s="1"/>
      <c r="W132" s="1"/>
      <c r="X132" s="1"/>
      <c r="Y132" s="1"/>
      <c r="Z132" s="1"/>
      <c r="AA132" s="1"/>
      <c r="AB132" s="165"/>
      <c r="AC132" s="140"/>
      <c r="AE132" s="196" t="s">
        <v>89</v>
      </c>
      <c r="AF132" s="197"/>
      <c r="AG132" s="197"/>
      <c r="AH132" s="197"/>
      <c r="AI132" s="197"/>
      <c r="AJ132" s="197"/>
      <c r="AK132" s="198">
        <f>COUNTIF(AH13:AI62,"NLS")</f>
        <v>0</v>
      </c>
      <c r="AL132" s="198">
        <f>COUNTIF(AH64:AI113,"NLS")</f>
        <v>0</v>
      </c>
      <c r="AM132" s="169">
        <f t="shared" si="14"/>
        <v>0</v>
      </c>
      <c r="AQ132" s="1"/>
    </row>
    <row r="133" ht="15.75" customHeight="1" spans="1:43" x14ac:dyDescent="0.25">
      <c r="A133" s="160" t="s">
        <v>90</v>
      </c>
      <c r="B133" s="191" t="s">
        <v>91</v>
      </c>
      <c r="C133" s="191"/>
      <c r="D133" s="191"/>
      <c r="E133" s="191"/>
      <c r="F133" s="191"/>
      <c r="G133" s="1"/>
      <c r="H133" s="1"/>
      <c r="I133" s="1"/>
      <c r="J133" s="1"/>
      <c r="K133" s="1"/>
      <c r="L133" s="1"/>
      <c r="M133" s="1"/>
      <c r="N133" s="1"/>
      <c r="O133" s="1"/>
      <c r="P133" s="1"/>
      <c r="Q133" s="1"/>
      <c r="R133" s="122"/>
      <c r="S133" s="123"/>
      <c r="T133" s="174" t="s">
        <v>92</v>
      </c>
      <c r="U133" s="1"/>
      <c r="V133" s="1"/>
      <c r="W133" s="1"/>
      <c r="X133" s="1"/>
      <c r="Y133" s="1"/>
      <c r="Z133" s="1"/>
      <c r="AA133" s="1"/>
      <c r="AB133" s="3"/>
      <c r="AC133" s="140"/>
      <c r="AE133" s="196"/>
      <c r="AF133" s="197"/>
      <c r="AG133" s="197"/>
      <c r="AH133" s="197"/>
      <c r="AI133" s="197"/>
      <c r="AJ133" s="197"/>
      <c r="AK133" s="198"/>
      <c r="AL133" s="198"/>
      <c r="AM133" s="169"/>
      <c r="AQ133" s="1"/>
    </row>
    <row r="134" ht="15.75" customHeight="1" spans="7:43" x14ac:dyDescent="0.25">
      <c r="G134" s="121"/>
      <c r="H134" s="121"/>
      <c r="I134" s="121"/>
      <c r="J134" s="121"/>
      <c r="K134" s="199"/>
      <c r="L134" s="199"/>
      <c r="M134" s="199"/>
      <c r="N134" s="199"/>
      <c r="O134" s="1"/>
      <c r="P134" s="1"/>
      <c r="Q134" s="1"/>
      <c r="R134" s="1"/>
      <c r="S134" s="123"/>
      <c r="T134" s="174" t="s">
        <v>93</v>
      </c>
      <c r="U134" s="1"/>
      <c r="V134" s="1"/>
      <c r="W134" s="1"/>
      <c r="X134" s="1"/>
      <c r="Y134" s="1"/>
      <c r="Z134" s="1"/>
      <c r="AA134" s="1"/>
      <c r="AC134" s="140"/>
      <c r="AE134" s="196" t="s">
        <v>94</v>
      </c>
      <c r="AF134" s="197"/>
      <c r="AG134" s="197"/>
      <c r="AH134" s="197"/>
      <c r="AI134" s="197"/>
      <c r="AJ134" s="197"/>
      <c r="AK134" s="176">
        <f>COUNTIF(AH13:AI62,"Transferred Out")</f>
        <v>0</v>
      </c>
      <c r="AL134" s="176">
        <f>COUNTIF(AH64:AI113,"Transferred Out")</f>
        <v>0</v>
      </c>
      <c r="AM134" s="159">
        <f t="shared" si="14"/>
        <v>0</v>
      </c>
      <c r="AQ134" s="1"/>
    </row>
    <row r="135" ht="14.25" customHeight="1" spans="2:43" x14ac:dyDescent="0.25">
      <c r="B135" s="121"/>
      <c r="C135" s="121"/>
      <c r="D135" s="121"/>
      <c r="E135" s="121"/>
      <c r="F135" s="121"/>
      <c r="G135" s="121"/>
      <c r="H135" s="121"/>
      <c r="I135" s="121"/>
      <c r="J135" s="121"/>
      <c r="K135" s="1"/>
      <c r="L135" s="1"/>
      <c r="M135" s="1"/>
      <c r="N135" s="1"/>
      <c r="O135" s="1"/>
      <c r="P135" s="1"/>
      <c r="Q135" s="1"/>
      <c r="R135" s="1"/>
      <c r="S135" s="123"/>
      <c r="T135" s="164" t="s">
        <v>95</v>
      </c>
      <c r="U135" s="1"/>
      <c r="V135" s="1"/>
      <c r="W135" s="1"/>
      <c r="X135" s="1"/>
      <c r="Y135" s="1"/>
      <c r="Z135" s="165"/>
      <c r="AA135" s="165"/>
      <c r="AB135" s="165"/>
      <c r="AC135" s="140"/>
      <c r="AE135" s="196"/>
      <c r="AF135" s="197"/>
      <c r="AG135" s="197"/>
      <c r="AH135" s="197"/>
      <c r="AI135" s="197"/>
      <c r="AJ135" s="197"/>
      <c r="AK135" s="176"/>
      <c r="AL135" s="176"/>
      <c r="AM135" s="159"/>
      <c r="AQ135" s="1"/>
    </row>
    <row r="136" ht="15" customHeight="1" spans="2:43" x14ac:dyDescent="0.25">
      <c r="B136" s="200"/>
      <c r="C136" s="200"/>
      <c r="D136" s="200"/>
      <c r="E136" s="200"/>
      <c r="F136" s="200"/>
      <c r="G136" s="1"/>
      <c r="H136" s="1"/>
      <c r="I136" s="1"/>
      <c r="J136" s="1"/>
      <c r="K136" s="1"/>
      <c r="L136" s="1"/>
      <c r="M136" s="1"/>
      <c r="N136" s="1"/>
      <c r="O136" s="1"/>
      <c r="P136" s="1"/>
      <c r="Q136" s="1"/>
      <c r="R136" s="1"/>
      <c r="S136" s="123"/>
      <c r="T136" s="174" t="s">
        <v>96</v>
      </c>
      <c r="U136" s="1"/>
      <c r="V136" s="1"/>
      <c r="W136" s="1"/>
      <c r="X136" s="1"/>
      <c r="Y136" s="1"/>
      <c r="Z136" s="1"/>
      <c r="AA136" s="1"/>
      <c r="AC136" s="140"/>
      <c r="AD136" s="150"/>
      <c r="AE136" s="196" t="s">
        <v>97</v>
      </c>
      <c r="AF136" s="197"/>
      <c r="AG136" s="197"/>
      <c r="AH136" s="197"/>
      <c r="AI136" s="197"/>
      <c r="AJ136" s="197"/>
      <c r="AK136" s="176">
        <f>COUNTIF(AH13:AI62,"Transferred In")</f>
        <v>0</v>
      </c>
      <c r="AL136" s="176">
        <f>COUNTIF(AH64:AI113,"Transferred In")</f>
        <v>0</v>
      </c>
      <c r="AM136" s="159">
        <f>AK136+AL136</f>
        <v>0</v>
      </c>
      <c r="AQ136" s="1"/>
    </row>
    <row r="137" ht="15.75" customHeight="1" spans="2:43" x14ac:dyDescent="0.25">
      <c r="B137" s="200"/>
      <c r="C137" s="200"/>
      <c r="D137" s="200"/>
      <c r="E137" s="200"/>
      <c r="F137" s="200"/>
      <c r="G137" s="1"/>
      <c r="H137" s="1"/>
      <c r="I137" s="1"/>
      <c r="J137" s="1"/>
      <c r="K137" s="1"/>
      <c r="L137" s="1"/>
      <c r="M137" s="1"/>
      <c r="N137" s="1"/>
      <c r="O137" s="1"/>
      <c r="P137" s="1"/>
      <c r="Q137" s="1"/>
      <c r="R137" s="1"/>
      <c r="S137" s="123"/>
      <c r="T137" s="174" t="s">
        <v>98</v>
      </c>
      <c r="U137" s="1"/>
      <c r="V137" s="1"/>
      <c r="W137" s="1"/>
      <c r="X137" s="1"/>
      <c r="Y137" s="1"/>
      <c r="Z137" s="1"/>
      <c r="AA137" s="1"/>
      <c r="AC137" s="140"/>
      <c r="AE137" s="201"/>
      <c r="AF137" s="148"/>
      <c r="AG137" s="148"/>
      <c r="AH137" s="148"/>
      <c r="AI137" s="148"/>
      <c r="AJ137" s="148"/>
      <c r="AK137" s="202"/>
      <c r="AL137" s="202"/>
      <c r="AM137" s="203"/>
      <c r="AQ137" s="1"/>
    </row>
    <row r="138" ht="14.25" customHeight="1" spans="2:43" x14ac:dyDescent="0.25">
      <c r="B138" s="3"/>
      <c r="C138" s="3"/>
      <c r="D138" s="3"/>
      <c r="E138" s="3"/>
      <c r="F138" s="3"/>
      <c r="G138" s="1"/>
      <c r="H138" s="1"/>
      <c r="I138" s="1"/>
      <c r="J138" s="1"/>
      <c r="K138" s="1"/>
      <c r="L138" s="1"/>
      <c r="M138" s="1"/>
      <c r="N138" s="1"/>
      <c r="O138" s="1"/>
      <c r="P138" s="1"/>
      <c r="Q138" s="1"/>
      <c r="R138" s="1"/>
      <c r="S138" s="123"/>
      <c r="T138" s="174" t="s">
        <v>99</v>
      </c>
      <c r="U138" s="1"/>
      <c r="V138" s="1"/>
      <c r="W138" s="1"/>
      <c r="X138" s="1"/>
      <c r="Y138" s="1"/>
      <c r="Z138" s="1"/>
      <c r="AA138" s="1"/>
      <c r="AC138" s="140"/>
      <c r="AQ138" s="1"/>
    </row>
    <row r="139" spans="2:43" x14ac:dyDescent="0.25">
      <c r="B139" s="3"/>
      <c r="C139" s="3"/>
      <c r="D139" s="3"/>
      <c r="E139" s="3"/>
      <c r="F139" s="3"/>
      <c r="G139" s="3"/>
      <c r="H139" s="3"/>
      <c r="I139" s="3"/>
      <c r="J139" s="3"/>
      <c r="K139" s="1"/>
      <c r="L139" s="1"/>
      <c r="M139" s="1"/>
      <c r="N139" s="1"/>
      <c r="O139" s="1"/>
      <c r="P139" s="1"/>
      <c r="Q139" s="1"/>
      <c r="R139" s="1"/>
      <c r="S139" s="123"/>
      <c r="T139" s="164" t="s">
        <v>100</v>
      </c>
      <c r="U139" s="1"/>
      <c r="V139" s="1"/>
      <c r="W139" s="1"/>
      <c r="X139" s="1"/>
      <c r="Y139" s="1"/>
      <c r="Z139" s="1"/>
      <c r="AA139" s="1"/>
      <c r="AC139" s="140"/>
      <c r="AE139" s="204" t="s">
        <v>101</v>
      </c>
      <c r="AM139" s="205"/>
      <c r="AQ139" s="1"/>
    </row>
    <row r="140" spans="2:43" x14ac:dyDescent="0.25">
      <c r="B140" s="206"/>
      <c r="C140" s="206"/>
      <c r="D140" s="206"/>
      <c r="E140" s="206"/>
      <c r="F140" s="206"/>
      <c r="G140" s="3"/>
      <c r="H140" s="3"/>
      <c r="I140" s="3"/>
      <c r="J140" s="3"/>
      <c r="K140" s="1"/>
      <c r="L140" s="1"/>
      <c r="M140" s="1"/>
      <c r="N140" s="1"/>
      <c r="O140" s="1"/>
      <c r="P140" s="1"/>
      <c r="Q140" s="1"/>
      <c r="R140" s="1"/>
      <c r="S140" s="123"/>
      <c r="T140" s="174" t="s">
        <v>102</v>
      </c>
      <c r="U140" s="1"/>
      <c r="V140" s="1"/>
      <c r="W140" s="1"/>
      <c r="X140" s="1"/>
      <c r="Y140" s="1"/>
      <c r="Z140" s="1"/>
      <c r="AA140" s="1"/>
      <c r="AC140" s="140"/>
      <c r="AE140" s="207"/>
      <c r="AF140" s="207"/>
      <c r="AG140" s="207"/>
      <c r="AH140" s="207"/>
      <c r="AI140" s="207"/>
      <c r="AJ140" s="207"/>
      <c r="AK140" s="207"/>
      <c r="AL140" s="207"/>
      <c r="AM140" s="207"/>
      <c r="AQ140" s="1"/>
    </row>
    <row r="141" ht="12" customHeight="1" spans="2:43" x14ac:dyDescent="0.25">
      <c r="B141" s="206"/>
      <c r="C141" s="206"/>
      <c r="D141" s="206"/>
      <c r="E141" s="206"/>
      <c r="F141" s="206"/>
      <c r="G141" s="1"/>
      <c r="H141" s="1"/>
      <c r="I141" s="1"/>
      <c r="J141" s="1"/>
      <c r="K141" s="1"/>
      <c r="L141" s="1"/>
      <c r="M141" s="1"/>
      <c r="N141" s="1"/>
      <c r="O141" s="1"/>
      <c r="P141" s="1"/>
      <c r="Q141" s="1"/>
      <c r="R141" s="1"/>
      <c r="S141" s="123"/>
      <c r="T141" s="208" t="s">
        <v>103</v>
      </c>
      <c r="U141" s="1"/>
      <c r="V141" s="1"/>
      <c r="W141" s="1"/>
      <c r="X141" s="1"/>
      <c r="Y141" s="1"/>
      <c r="Z141" s="1"/>
      <c r="AA141" s="1"/>
      <c r="AB141" s="150"/>
      <c r="AC141" s="209"/>
      <c r="AE141" s="98"/>
      <c r="AF141" s="98"/>
      <c r="AG141" s="98"/>
      <c r="AH141" s="98"/>
      <c r="AI141" s="98"/>
      <c r="AJ141" s="98"/>
      <c r="AK141" s="98"/>
      <c r="AL141" s="98"/>
      <c r="AM141" s="98"/>
      <c r="AQ141" s="1"/>
    </row>
    <row r="142" spans="2:43" x14ac:dyDescent="0.25">
      <c r="B142" s="206"/>
      <c r="C142" s="206"/>
      <c r="D142" s="206"/>
      <c r="E142" s="206"/>
      <c r="F142" s="206"/>
      <c r="G142" s="1"/>
      <c r="H142" s="1"/>
      <c r="I142" s="1"/>
      <c r="J142" s="1"/>
      <c r="K142" s="1"/>
      <c r="L142" s="1"/>
      <c r="M142" s="1"/>
      <c r="N142" s="1"/>
      <c r="O142" s="1"/>
      <c r="P142" s="1"/>
      <c r="Q142" s="1"/>
      <c r="R142" s="1"/>
      <c r="S142" s="123"/>
      <c r="T142" s="1"/>
      <c r="U142" s="1"/>
      <c r="V142" s="1"/>
      <c r="W142" s="1"/>
      <c r="X142" s="1"/>
      <c r="Y142" s="1"/>
      <c r="Z142" s="1"/>
      <c r="AA142" s="1"/>
      <c r="AB142" s="150"/>
      <c r="AC142" s="209"/>
      <c r="AE142" s="210" t="s">
        <v>104</v>
      </c>
      <c r="AF142" s="210"/>
      <c r="AG142" s="210"/>
      <c r="AH142" s="210"/>
      <c r="AI142" s="210"/>
      <c r="AJ142" s="210"/>
      <c r="AK142" s="210"/>
      <c r="AL142" s="210"/>
      <c r="AM142" s="210"/>
      <c r="AQ142" s="1"/>
    </row>
    <row r="143" spans="2:43" x14ac:dyDescent="0.25">
      <c r="B143" s="206"/>
      <c r="C143" s="206"/>
      <c r="D143" s="206"/>
      <c r="E143" s="206"/>
      <c r="F143" s="206"/>
      <c r="G143" s="1"/>
      <c r="H143" s="1"/>
      <c r="I143" s="1"/>
      <c r="J143" s="1"/>
      <c r="K143" s="1"/>
      <c r="L143" s="1"/>
      <c r="M143" s="1"/>
      <c r="N143" s="1"/>
      <c r="O143" s="1"/>
      <c r="P143" s="1"/>
      <c r="Q143" s="1"/>
      <c r="R143" s="1"/>
      <c r="S143" s="1"/>
      <c r="T143" s="174" t="s">
        <v>105</v>
      </c>
      <c r="U143" s="1"/>
      <c r="V143" s="1"/>
      <c r="W143" s="1"/>
      <c r="X143" s="1"/>
      <c r="Y143" s="1"/>
      <c r="Z143" s="1"/>
      <c r="AA143" s="1"/>
      <c r="AC143" s="211"/>
      <c r="AQ143" s="1"/>
    </row>
    <row r="144" ht="14.25" customHeight="1" spans="2:43" x14ac:dyDescent="0.25">
      <c r="B144" s="3"/>
      <c r="C144" s="3"/>
      <c r="D144" s="3"/>
      <c r="E144" s="3"/>
      <c r="F144" s="3"/>
      <c r="G144" s="1"/>
      <c r="H144" s="1"/>
      <c r="I144" s="1"/>
      <c r="J144" s="1"/>
      <c r="K144" s="1"/>
      <c r="L144" s="1"/>
      <c r="M144" s="1"/>
      <c r="N144" s="1"/>
      <c r="O144" s="1"/>
      <c r="P144" s="1"/>
      <c r="Q144" s="1"/>
      <c r="R144" s="1"/>
      <c r="S144" s="1"/>
      <c r="T144" s="164" t="s">
        <v>106</v>
      </c>
      <c r="U144" s="1"/>
      <c r="V144" s="1"/>
      <c r="W144" s="1"/>
      <c r="X144" s="1"/>
      <c r="Y144" s="1"/>
      <c r="Z144" s="1"/>
      <c r="AA144" s="1"/>
      <c r="AC144" s="211"/>
      <c r="AE144" s="1" t="s">
        <v>107</v>
      </c>
      <c r="AG144" s="204"/>
      <c r="AH144" s="204"/>
      <c r="AI144" s="204"/>
      <c r="AJ144" s="204"/>
      <c r="AK144" s="204"/>
      <c r="AL144" s="204"/>
      <c r="AQ144" s="1"/>
    </row>
    <row r="145" ht="27.65" customHeight="1" spans="1:43" x14ac:dyDescent="0.25">
      <c r="A145" s="212"/>
      <c r="B145" s="212"/>
      <c r="C145" s="212"/>
      <c r="D145" s="212"/>
      <c r="E145" s="212"/>
      <c r="F145" s="212"/>
      <c r="G145" s="1"/>
      <c r="H145" s="1"/>
      <c r="I145" s="1"/>
      <c r="J145" s="1"/>
      <c r="K145" s="1"/>
      <c r="L145" s="1"/>
      <c r="M145" s="1"/>
      <c r="N145" s="1"/>
      <c r="O145" s="1"/>
      <c r="P145" s="1"/>
      <c r="Q145" s="1"/>
      <c r="R145" s="1"/>
      <c r="S145" s="1"/>
      <c r="T145" s="174" t="s">
        <v>108</v>
      </c>
      <c r="U145" s="1"/>
      <c r="V145" s="1"/>
      <c r="W145" s="1"/>
      <c r="X145" s="1"/>
      <c r="Y145" s="1"/>
      <c r="Z145" s="1"/>
      <c r="AA145" s="1"/>
      <c r="AC145" s="211"/>
      <c r="AE145" s="98"/>
      <c r="AF145" s="98"/>
      <c r="AG145" s="98"/>
      <c r="AH145" s="98"/>
      <c r="AI145" s="98"/>
      <c r="AJ145" s="98"/>
      <c r="AK145" s="98"/>
      <c r="AL145" s="98"/>
      <c r="AM145" s="98"/>
      <c r="AQ145" s="1"/>
    </row>
    <row r="146" ht="14.25" customHeight="1" spans="1:43" x14ac:dyDescent="0.25">
      <c r="A146" s="212"/>
      <c r="B146" s="212"/>
      <c r="C146" s="212"/>
      <c r="D146" s="212"/>
      <c r="E146" s="212"/>
      <c r="F146" s="212"/>
      <c r="G146" s="1"/>
      <c r="H146" s="1"/>
      <c r="I146" s="1"/>
      <c r="J146" s="1"/>
      <c r="K146" s="1"/>
      <c r="L146" s="1"/>
      <c r="M146" s="1"/>
      <c r="N146" s="1"/>
      <c r="O146" s="1"/>
      <c r="P146" s="1"/>
      <c r="Q146" s="1"/>
      <c r="R146" s="1"/>
      <c r="S146" s="1"/>
      <c r="T146" s="213" t="s">
        <v>109</v>
      </c>
      <c r="U146" s="214"/>
      <c r="V146" s="214"/>
      <c r="W146" s="214"/>
      <c r="X146" s="214"/>
      <c r="Y146" s="214"/>
      <c r="Z146" s="214"/>
      <c r="AA146" s="214"/>
      <c r="AB146" s="214"/>
      <c r="AC146" s="215"/>
      <c r="AE146" s="210" t="s">
        <v>110</v>
      </c>
      <c r="AF146" s="210"/>
      <c r="AG146" s="210"/>
      <c r="AH146" s="210"/>
      <c r="AI146" s="210"/>
      <c r="AJ146" s="210"/>
      <c r="AK146" s="210"/>
      <c r="AL146" s="210"/>
      <c r="AM146" s="210"/>
      <c r="AQ146" s="1"/>
    </row>
    <row r="147" spans="7:43" x14ac:dyDescent="0.25">
      <c r="G147" s="1"/>
      <c r="H147" s="1"/>
      <c r="I147" s="1"/>
      <c r="J147" s="1"/>
      <c r="K147" s="1"/>
      <c r="L147" s="1"/>
      <c r="M147" s="1"/>
      <c r="N147" s="1"/>
      <c r="O147" s="1"/>
      <c r="P147" s="1"/>
      <c r="Q147" s="1"/>
      <c r="R147" s="1"/>
      <c r="S147" s="1"/>
      <c r="T147" s="1"/>
      <c r="U147" s="1"/>
      <c r="V147" s="1"/>
      <c r="W147" s="1"/>
      <c r="X147" s="1"/>
      <c r="Y147" s="1"/>
      <c r="Z147" s="1"/>
      <c r="AA147" s="1"/>
      <c r="AQ147" s="1"/>
    </row>
    <row r="148" spans="7:43" x14ac:dyDescent="0.25">
      <c r="G148" s="1"/>
      <c r="H148" s="1"/>
      <c r="I148" s="1"/>
      <c r="J148" s="1"/>
      <c r="K148" s="1"/>
      <c r="L148" s="1"/>
      <c r="M148" s="1"/>
      <c r="N148" s="1"/>
      <c r="O148" s="1"/>
      <c r="P148" s="1"/>
      <c r="Q148" s="1"/>
      <c r="R148" s="1"/>
      <c r="S148" s="1"/>
      <c r="T148" s="1"/>
      <c r="U148" s="1"/>
      <c r="V148" s="1"/>
      <c r="W148" s="1"/>
      <c r="X148" s="1"/>
      <c r="Y148" s="1"/>
      <c r="Z148" s="1"/>
      <c r="AA148" s="1"/>
      <c r="AQ148" s="1"/>
    </row>
    <row r="149" spans="7:43" x14ac:dyDescent="0.25">
      <c r="G149" s="1"/>
      <c r="H149" s="1"/>
      <c r="I149" s="1"/>
      <c r="J149" s="1"/>
      <c r="K149" s="1"/>
      <c r="L149" s="1"/>
      <c r="M149" s="1"/>
      <c r="N149" s="1"/>
      <c r="O149" s="1"/>
      <c r="P149" s="1"/>
      <c r="Q149" s="1"/>
      <c r="R149" s="1"/>
      <c r="S149" s="1"/>
      <c r="T149" s="1"/>
      <c r="U149" s="1"/>
      <c r="V149" s="1"/>
      <c r="W149" s="1"/>
      <c r="X149" s="1"/>
      <c r="Y149" s="1"/>
      <c r="Z149" s="1"/>
      <c r="AA149" s="1"/>
      <c r="AQ149" s="1"/>
    </row>
    <row r="150" spans="7:43" x14ac:dyDescent="0.25">
      <c r="G150" s="1"/>
      <c r="H150" s="1"/>
      <c r="I150" s="1"/>
      <c r="J150" s="1"/>
      <c r="K150" s="1"/>
      <c r="L150" s="1"/>
      <c r="M150" s="1"/>
      <c r="N150" s="1"/>
      <c r="O150" s="1"/>
      <c r="P150" s="1"/>
      <c r="Q150" s="1"/>
      <c r="R150" s="1"/>
      <c r="S150" s="1"/>
      <c r="T150" s="1"/>
      <c r="U150" s="1"/>
      <c r="V150" s="1"/>
      <c r="W150" s="1"/>
      <c r="X150" s="1"/>
      <c r="Y150" s="1"/>
      <c r="Z150" s="1"/>
      <c r="AA150" s="1"/>
      <c r="AQ150" s="1"/>
    </row>
    <row r="151" spans="7:43" x14ac:dyDescent="0.25">
      <c r="G151" s="1"/>
      <c r="H151" s="1"/>
      <c r="I151" s="1"/>
      <c r="J151" s="1"/>
      <c r="K151" s="1"/>
      <c r="L151" s="1"/>
      <c r="M151" s="1"/>
      <c r="N151" s="1"/>
      <c r="O151" s="1"/>
      <c r="P151" s="1"/>
      <c r="Q151" s="1"/>
      <c r="R151" s="1"/>
      <c r="S151" s="1"/>
      <c r="T151" s="1"/>
      <c r="U151" s="1"/>
      <c r="V151" s="1"/>
      <c r="W151" s="1"/>
      <c r="X151" s="1"/>
      <c r="Y151" s="1"/>
      <c r="Z151" s="1"/>
      <c r="AA151" s="1"/>
      <c r="AQ151" s="1"/>
    </row>
    <row r="152" spans="7:43" x14ac:dyDescent="0.25">
      <c r="G152" s="1"/>
      <c r="H152" s="1"/>
      <c r="I152" s="1"/>
      <c r="J152" s="1"/>
      <c r="K152" s="1"/>
      <c r="L152" s="1"/>
      <c r="M152" s="1"/>
      <c r="N152" s="1"/>
      <c r="O152" s="1"/>
      <c r="P152" s="1"/>
      <c r="Q152" s="1"/>
      <c r="R152" s="1"/>
      <c r="S152" s="1"/>
      <c r="T152" s="1"/>
      <c r="U152" s="1"/>
      <c r="V152" s="1"/>
      <c r="W152" s="1"/>
      <c r="X152" s="1"/>
      <c r="Y152" s="1"/>
      <c r="Z152" s="1"/>
      <c r="AA152" s="1"/>
      <c r="AQ152" s="1"/>
    </row>
    <row r="153" spans="7:43" x14ac:dyDescent="0.25">
      <c r="G153" s="1"/>
      <c r="H153" s="1"/>
      <c r="I153" s="1"/>
      <c r="J153" s="1"/>
      <c r="K153" s="1"/>
      <c r="L153" s="1"/>
      <c r="M153" s="1"/>
      <c r="N153" s="1"/>
      <c r="O153" s="1"/>
      <c r="P153" s="1"/>
      <c r="Q153" s="1"/>
      <c r="R153" s="1"/>
      <c r="S153" s="1"/>
      <c r="T153" s="1"/>
      <c r="U153" s="1"/>
      <c r="V153" s="1"/>
      <c r="W153" s="1"/>
      <c r="X153" s="1"/>
      <c r="Y153" s="1"/>
      <c r="Z153" s="1"/>
      <c r="AA153" s="1"/>
      <c r="AQ153" s="1"/>
    </row>
    <row r="154" spans="7:43" x14ac:dyDescent="0.25">
      <c r="G154" s="1"/>
      <c r="H154" s="1"/>
      <c r="I154" s="1"/>
      <c r="J154" s="1"/>
      <c r="K154" s="1"/>
      <c r="L154" s="1"/>
      <c r="M154" s="1"/>
      <c r="N154" s="1"/>
      <c r="O154" s="1"/>
      <c r="P154" s="1"/>
      <c r="Q154" s="1"/>
      <c r="R154" s="1"/>
      <c r="S154" s="1"/>
      <c r="T154" s="1"/>
      <c r="U154" s="1"/>
      <c r="V154" s="1"/>
      <c r="W154" s="1"/>
      <c r="X154" s="1"/>
      <c r="Y154" s="1"/>
      <c r="Z154" s="1"/>
      <c r="AA154" s="1"/>
      <c r="AQ154" s="1"/>
    </row>
    <row r="155" spans="7:43" x14ac:dyDescent="0.25">
      <c r="G155" s="1"/>
      <c r="H155" s="1"/>
      <c r="I155" s="1"/>
      <c r="J155" s="1"/>
      <c r="K155" s="1"/>
      <c r="L155" s="1"/>
      <c r="M155" s="1"/>
      <c r="N155" s="1"/>
      <c r="O155" s="1"/>
      <c r="P155" s="1"/>
      <c r="Q155" s="1"/>
      <c r="R155" s="1"/>
      <c r="S155" s="1"/>
      <c r="T155" s="1"/>
      <c r="U155" s="1"/>
      <c r="V155" s="1"/>
      <c r="W155" s="1"/>
      <c r="X155" s="1"/>
      <c r="Y155" s="1"/>
      <c r="Z155" s="1"/>
      <c r="AA155" s="1"/>
      <c r="AQ155" s="1"/>
    </row>
    <row r="156" spans="7:43" x14ac:dyDescent="0.25">
      <c r="G156" s="1"/>
      <c r="H156" s="1"/>
      <c r="I156" s="1"/>
      <c r="J156" s="1"/>
      <c r="K156" s="1"/>
      <c r="L156" s="1"/>
      <c r="M156" s="1"/>
      <c r="N156" s="1"/>
      <c r="O156" s="1"/>
      <c r="P156" s="1"/>
      <c r="Q156" s="1"/>
      <c r="R156" s="1"/>
      <c r="S156" s="1"/>
      <c r="T156" s="1"/>
      <c r="U156" s="1"/>
      <c r="V156" s="1"/>
      <c r="W156" s="1"/>
      <c r="X156" s="1"/>
      <c r="Y156" s="1"/>
      <c r="Z156" s="1"/>
      <c r="AA156" s="1"/>
      <c r="AQ156" s="1"/>
    </row>
    <row r="157" spans="7:43" x14ac:dyDescent="0.25">
      <c r="G157" s="1"/>
      <c r="H157" s="1"/>
      <c r="I157" s="1"/>
      <c r="J157" s="1"/>
      <c r="K157" s="1"/>
      <c r="L157" s="1"/>
      <c r="M157" s="1"/>
      <c r="N157" s="1"/>
      <c r="O157" s="1"/>
      <c r="P157" s="1"/>
      <c r="Q157" s="1"/>
      <c r="R157" s="1"/>
      <c r="S157" s="1"/>
      <c r="T157" s="1"/>
      <c r="U157" s="1"/>
      <c r="V157" s="1"/>
      <c r="W157" s="1"/>
      <c r="X157" s="1"/>
      <c r="Y157" s="1"/>
      <c r="Z157" s="1"/>
      <c r="AA157" s="1"/>
      <c r="AQ157" s="1"/>
    </row>
    <row r="158" spans="7:43" x14ac:dyDescent="0.25">
      <c r="G158" s="1"/>
      <c r="H158" s="1"/>
      <c r="I158" s="1"/>
      <c r="J158" s="1"/>
      <c r="K158" s="1"/>
      <c r="L158" s="1"/>
      <c r="M158" s="1"/>
      <c r="N158" s="1"/>
      <c r="O158" s="1"/>
      <c r="P158" s="1"/>
      <c r="Q158" s="1"/>
      <c r="R158" s="1"/>
      <c r="S158" s="1"/>
      <c r="T158" s="1"/>
      <c r="U158" s="1"/>
      <c r="V158" s="1"/>
      <c r="W158" s="1"/>
      <c r="X158" s="1"/>
      <c r="Y158" s="1"/>
      <c r="Z158" s="1"/>
      <c r="AA158" s="1"/>
      <c r="AQ158" s="1"/>
    </row>
    <row r="159" spans="7:43" x14ac:dyDescent="0.25">
      <c r="G159" s="1"/>
      <c r="H159" s="1"/>
      <c r="I159" s="1"/>
      <c r="J159" s="1"/>
      <c r="K159" s="1"/>
      <c r="L159" s="1"/>
      <c r="M159" s="1"/>
      <c r="N159" s="1"/>
      <c r="O159" s="1"/>
      <c r="P159" s="1"/>
      <c r="Q159" s="1"/>
      <c r="R159" s="1"/>
      <c r="S159" s="1"/>
      <c r="T159" s="1"/>
      <c r="U159" s="1"/>
      <c r="V159" s="1"/>
      <c r="W159" s="1"/>
      <c r="X159" s="1"/>
      <c r="Y159" s="1"/>
      <c r="Z159" s="1"/>
      <c r="AA159" s="1"/>
      <c r="AQ159" s="1"/>
    </row>
    <row r="160" spans="7:43" x14ac:dyDescent="0.25">
      <c r="G160" s="1"/>
      <c r="H160" s="1"/>
      <c r="I160" s="1"/>
      <c r="J160" s="1"/>
      <c r="K160" s="1"/>
      <c r="L160" s="1"/>
      <c r="M160" s="1"/>
      <c r="N160" s="1"/>
      <c r="O160" s="1"/>
      <c r="P160" s="1"/>
      <c r="Q160" s="1"/>
      <c r="R160" s="1"/>
      <c r="S160" s="1"/>
      <c r="T160" s="1"/>
      <c r="U160" s="1"/>
      <c r="V160" s="1"/>
      <c r="W160" s="1"/>
      <c r="X160" s="1"/>
      <c r="Y160" s="1"/>
      <c r="Z160" s="1"/>
      <c r="AA160" s="1"/>
      <c r="AQ160" s="1"/>
    </row>
    <row r="161" spans="7:43" x14ac:dyDescent="0.25">
      <c r="G161" s="1"/>
      <c r="H161" s="1"/>
      <c r="I161" s="1"/>
      <c r="J161" s="1"/>
      <c r="K161" s="1"/>
      <c r="L161" s="1"/>
      <c r="M161" s="1"/>
      <c r="N161" s="1"/>
      <c r="O161" s="1"/>
      <c r="P161" s="1"/>
      <c r="Q161" s="1"/>
      <c r="R161" s="1"/>
      <c r="S161" s="1"/>
      <c r="T161" s="1"/>
      <c r="U161" s="1"/>
      <c r="V161" s="1"/>
      <c r="W161" s="1"/>
      <c r="X161" s="1"/>
      <c r="Y161" s="1"/>
      <c r="Z161" s="1"/>
      <c r="AA161" s="1"/>
      <c r="AQ161" s="1"/>
    </row>
    <row r="162" spans="7:43" x14ac:dyDescent="0.25">
      <c r="G162" s="1"/>
      <c r="H162" s="1"/>
      <c r="I162" s="1"/>
      <c r="J162" s="1"/>
      <c r="K162" s="1"/>
      <c r="L162" s="1"/>
      <c r="M162" s="1"/>
      <c r="N162" s="1"/>
      <c r="O162" s="1"/>
      <c r="P162" s="1"/>
      <c r="Q162" s="1"/>
      <c r="R162" s="1"/>
      <c r="S162" s="1"/>
      <c r="T162" s="1"/>
      <c r="U162" s="1"/>
      <c r="V162" s="1"/>
      <c r="W162" s="1"/>
      <c r="X162" s="1"/>
      <c r="Y162" s="1"/>
      <c r="Z162" s="1"/>
      <c r="AA162" s="1"/>
      <c r="AQ162" s="1"/>
    </row>
    <row r="163" spans="7:43" x14ac:dyDescent="0.25">
      <c r="G163" s="1"/>
      <c r="H163" s="1"/>
      <c r="I163" s="1"/>
      <c r="J163" s="1"/>
      <c r="K163" s="1"/>
      <c r="L163" s="1"/>
      <c r="M163" s="1"/>
      <c r="N163" s="1"/>
      <c r="O163" s="1"/>
      <c r="P163" s="1"/>
      <c r="Q163" s="1"/>
      <c r="R163" s="1"/>
      <c r="S163" s="1"/>
      <c r="T163" s="1"/>
      <c r="U163" s="1"/>
      <c r="V163" s="1"/>
      <c r="W163" s="1"/>
      <c r="X163" s="1"/>
      <c r="Y163" s="1"/>
      <c r="Z163" s="1"/>
      <c r="AA163" s="1"/>
      <c r="AQ163" s="1"/>
    </row>
    <row r="164" spans="7:43" x14ac:dyDescent="0.25">
      <c r="G164" s="1"/>
      <c r="H164" s="1"/>
      <c r="I164" s="1"/>
      <c r="J164" s="1"/>
      <c r="K164" s="1"/>
      <c r="L164" s="1"/>
      <c r="M164" s="1"/>
      <c r="N164" s="1"/>
      <c r="O164" s="1"/>
      <c r="P164" s="1"/>
      <c r="Q164" s="1"/>
      <c r="R164" s="1"/>
      <c r="S164" s="1"/>
      <c r="T164" s="1"/>
      <c r="U164" s="1"/>
      <c r="V164" s="1"/>
      <c r="W164" s="1"/>
      <c r="X164" s="1"/>
      <c r="Y164" s="1"/>
      <c r="Z164" s="1"/>
      <c r="AA164" s="1"/>
      <c r="AQ164" s="1"/>
    </row>
    <row r="165" spans="7:43" x14ac:dyDescent="0.25">
      <c r="G165" s="1"/>
      <c r="H165" s="1"/>
      <c r="I165" s="1"/>
      <c r="J165" s="1"/>
      <c r="K165" s="1"/>
      <c r="L165" s="1"/>
      <c r="M165" s="1"/>
      <c r="N165" s="1"/>
      <c r="O165" s="1"/>
      <c r="P165" s="1"/>
      <c r="Q165" s="1"/>
      <c r="R165" s="1"/>
      <c r="S165" s="1"/>
      <c r="T165" s="1"/>
      <c r="U165" s="1"/>
      <c r="V165" s="1"/>
      <c r="W165" s="1"/>
      <c r="X165" s="1"/>
      <c r="Y165" s="1"/>
      <c r="Z165" s="1"/>
      <c r="AA165" s="1"/>
      <c r="AQ165" s="1"/>
    </row>
    <row r="166" spans="7:43" x14ac:dyDescent="0.25">
      <c r="G166" s="1"/>
      <c r="H166" s="1"/>
      <c r="I166" s="1"/>
      <c r="J166" s="1"/>
      <c r="K166" s="1"/>
      <c r="L166" s="1"/>
      <c r="M166" s="1"/>
      <c r="N166" s="1"/>
      <c r="O166" s="1"/>
      <c r="P166" s="1"/>
      <c r="Q166" s="1"/>
      <c r="R166" s="1"/>
      <c r="S166" s="1"/>
      <c r="T166" s="1"/>
      <c r="U166" s="1"/>
      <c r="V166" s="1"/>
      <c r="W166" s="1"/>
      <c r="X166" s="1"/>
      <c r="Y166" s="1"/>
      <c r="Z166" s="1"/>
      <c r="AA166" s="1"/>
      <c r="AQ166" s="1"/>
    </row>
    <row r="167" spans="7:43" x14ac:dyDescent="0.25">
      <c r="G167" s="1"/>
      <c r="H167" s="1"/>
      <c r="I167" s="1"/>
      <c r="J167" s="1"/>
      <c r="K167" s="1"/>
      <c r="L167" s="1"/>
      <c r="M167" s="1"/>
      <c r="N167" s="1"/>
      <c r="O167" s="1"/>
      <c r="P167" s="1"/>
      <c r="Q167" s="1"/>
      <c r="R167" s="1"/>
      <c r="S167" s="1"/>
      <c r="T167" s="1"/>
      <c r="U167" s="1"/>
      <c r="V167" s="1"/>
      <c r="W167" s="1"/>
      <c r="X167" s="1"/>
      <c r="Y167" s="1"/>
      <c r="Z167" s="1"/>
      <c r="AA167" s="1"/>
      <c r="AQ167" s="1"/>
    </row>
    <row r="168" spans="7:43" x14ac:dyDescent="0.25">
      <c r="G168" s="1"/>
      <c r="H168" s="1"/>
      <c r="I168" s="1"/>
      <c r="J168" s="1"/>
      <c r="K168" s="1"/>
      <c r="L168" s="1"/>
      <c r="M168" s="1"/>
      <c r="N168" s="1"/>
      <c r="O168" s="1"/>
      <c r="P168" s="1"/>
      <c r="Q168" s="1"/>
      <c r="R168" s="1"/>
      <c r="S168" s="1"/>
      <c r="T168" s="1"/>
      <c r="U168" s="1"/>
      <c r="V168" s="1"/>
      <c r="W168" s="1"/>
      <c r="X168" s="1"/>
      <c r="Y168" s="1"/>
      <c r="Z168" s="1"/>
      <c r="AA168" s="1"/>
      <c r="AQ168" s="1"/>
    </row>
    <row r="169" spans="7:43" x14ac:dyDescent="0.25">
      <c r="G169" s="1"/>
      <c r="H169" s="1"/>
      <c r="I169" s="1"/>
      <c r="J169" s="1"/>
      <c r="K169" s="1"/>
      <c r="L169" s="1"/>
      <c r="M169" s="1"/>
      <c r="N169" s="1"/>
      <c r="O169" s="1"/>
      <c r="P169" s="1"/>
      <c r="Q169" s="1"/>
      <c r="R169" s="1"/>
      <c r="S169" s="1"/>
      <c r="T169" s="1"/>
      <c r="U169" s="1"/>
      <c r="V169" s="1"/>
      <c r="W169" s="1"/>
      <c r="X169" s="1"/>
      <c r="Y169" s="1"/>
      <c r="Z169" s="1"/>
      <c r="AA169" s="1"/>
      <c r="AQ169" s="1"/>
    </row>
    <row r="170" spans="7:43" x14ac:dyDescent="0.25">
      <c r="G170" s="1"/>
      <c r="H170" s="1"/>
      <c r="I170" s="1"/>
      <c r="J170" s="1"/>
      <c r="K170" s="1"/>
      <c r="L170" s="1"/>
      <c r="M170" s="1"/>
      <c r="N170" s="1"/>
      <c r="O170" s="1"/>
      <c r="P170" s="1"/>
      <c r="Q170" s="1"/>
      <c r="R170" s="1"/>
      <c r="S170" s="1"/>
      <c r="T170" s="1"/>
      <c r="U170" s="1"/>
      <c r="V170" s="1"/>
      <c r="W170" s="1"/>
      <c r="X170" s="1"/>
      <c r="Y170" s="1"/>
      <c r="Z170" s="1"/>
      <c r="AA170" s="1"/>
      <c r="AQ170" s="1"/>
    </row>
    <row r="171" spans="7:43" x14ac:dyDescent="0.25">
      <c r="G171" s="1"/>
      <c r="H171" s="1"/>
      <c r="I171" s="1"/>
      <c r="J171" s="1"/>
      <c r="K171" s="1"/>
      <c r="L171" s="1"/>
      <c r="M171" s="1"/>
      <c r="N171" s="1"/>
      <c r="O171" s="1"/>
      <c r="P171" s="1"/>
      <c r="Q171" s="1"/>
      <c r="R171" s="1"/>
      <c r="S171" s="1"/>
      <c r="T171" s="1"/>
      <c r="U171" s="1"/>
      <c r="V171" s="1"/>
      <c r="W171" s="1"/>
      <c r="X171" s="1"/>
      <c r="Y171" s="1"/>
      <c r="Z171" s="1"/>
      <c r="AA171" s="1"/>
      <c r="AQ171" s="1"/>
    </row>
    <row r="172" spans="7:43" x14ac:dyDescent="0.25">
      <c r="G172" s="1"/>
      <c r="H172" s="1"/>
      <c r="I172" s="1"/>
      <c r="J172" s="1"/>
      <c r="K172" s="1"/>
      <c r="L172" s="1"/>
      <c r="M172" s="1"/>
      <c r="N172" s="1"/>
      <c r="O172" s="1"/>
      <c r="P172" s="1"/>
      <c r="Q172" s="1"/>
      <c r="R172" s="1"/>
      <c r="S172" s="1"/>
      <c r="T172" s="1"/>
      <c r="U172" s="1"/>
      <c r="V172" s="1"/>
      <c r="W172" s="1"/>
      <c r="X172" s="1"/>
      <c r="Y172" s="1"/>
      <c r="Z172" s="1"/>
      <c r="AA172" s="1"/>
      <c r="AQ172" s="1"/>
    </row>
    <row r="173" spans="7:43" x14ac:dyDescent="0.25">
      <c r="G173" s="1"/>
      <c r="H173" s="1"/>
      <c r="I173" s="1"/>
      <c r="J173" s="1"/>
      <c r="K173" s="1"/>
      <c r="L173" s="1"/>
      <c r="M173" s="1"/>
      <c r="N173" s="1"/>
      <c r="O173" s="1"/>
      <c r="P173" s="1"/>
      <c r="Q173" s="1"/>
      <c r="R173" s="1"/>
      <c r="S173" s="1"/>
      <c r="T173" s="1"/>
      <c r="U173" s="1"/>
      <c r="V173" s="1"/>
      <c r="W173" s="1"/>
      <c r="X173" s="1"/>
      <c r="Y173" s="1"/>
      <c r="Z173" s="1"/>
      <c r="AA173" s="1"/>
      <c r="AQ173" s="1"/>
    </row>
    <row r="174" spans="7:43" x14ac:dyDescent="0.25">
      <c r="G174" s="1"/>
      <c r="H174" s="1"/>
      <c r="I174" s="1"/>
      <c r="J174" s="1"/>
      <c r="K174" s="1"/>
      <c r="L174" s="1"/>
      <c r="M174" s="1"/>
      <c r="N174" s="1"/>
      <c r="O174" s="1"/>
      <c r="P174" s="1"/>
      <c r="Q174" s="1"/>
      <c r="R174" s="1"/>
      <c r="S174" s="1"/>
      <c r="T174" s="1"/>
      <c r="U174" s="1"/>
      <c r="V174" s="1"/>
      <c r="W174" s="1"/>
      <c r="X174" s="1"/>
      <c r="Y174" s="1"/>
      <c r="Z174" s="1"/>
      <c r="AA174" s="1"/>
      <c r="AQ174" s="1"/>
    </row>
    <row r="175" spans="7:43" x14ac:dyDescent="0.25">
      <c r="G175" s="1"/>
      <c r="H175" s="1"/>
      <c r="I175" s="1"/>
      <c r="J175" s="1"/>
      <c r="K175" s="1"/>
      <c r="L175" s="1"/>
      <c r="M175" s="1"/>
      <c r="N175" s="1"/>
      <c r="O175" s="1"/>
      <c r="P175" s="1"/>
      <c r="Q175" s="1"/>
      <c r="R175" s="1"/>
      <c r="S175" s="1"/>
      <c r="T175" s="1"/>
      <c r="U175" s="1"/>
      <c r="V175" s="1"/>
      <c r="W175" s="1"/>
      <c r="X175" s="1"/>
      <c r="Y175" s="1"/>
      <c r="Z175" s="1"/>
      <c r="AA175" s="1"/>
      <c r="AQ175" s="1"/>
    </row>
    <row r="176" spans="7:43" x14ac:dyDescent="0.25">
      <c r="G176" s="1"/>
      <c r="H176" s="1"/>
      <c r="I176" s="1"/>
      <c r="J176" s="1"/>
      <c r="K176" s="1"/>
      <c r="L176" s="1"/>
      <c r="M176" s="1"/>
      <c r="N176" s="1"/>
      <c r="O176" s="1"/>
      <c r="P176" s="1"/>
      <c r="Q176" s="1"/>
      <c r="R176" s="1"/>
      <c r="S176" s="1"/>
      <c r="T176" s="1"/>
      <c r="U176" s="1"/>
      <c r="V176" s="1"/>
      <c r="W176" s="1"/>
      <c r="X176" s="1"/>
      <c r="Y176" s="1"/>
      <c r="Z176" s="1"/>
      <c r="AA176" s="1"/>
      <c r="AQ176" s="1"/>
    </row>
    <row r="177" spans="7:43" x14ac:dyDescent="0.25">
      <c r="G177" s="1"/>
      <c r="H177" s="1"/>
      <c r="I177" s="1"/>
      <c r="J177" s="1"/>
      <c r="K177" s="1"/>
      <c r="L177" s="1"/>
      <c r="M177" s="1"/>
      <c r="N177" s="1"/>
      <c r="O177" s="1"/>
      <c r="P177" s="1"/>
      <c r="Q177" s="1"/>
      <c r="R177" s="1"/>
      <c r="S177" s="1"/>
      <c r="T177" s="1"/>
      <c r="U177" s="1"/>
      <c r="V177" s="1"/>
      <c r="W177" s="1"/>
      <c r="X177" s="1"/>
      <c r="Y177" s="1"/>
      <c r="Z177" s="1"/>
      <c r="AA177" s="1"/>
      <c r="AQ177" s="1"/>
    </row>
    <row r="178" spans="7:43" x14ac:dyDescent="0.25">
      <c r="G178" s="1"/>
      <c r="H178" s="1"/>
      <c r="I178" s="1"/>
      <c r="J178" s="1"/>
      <c r="K178" s="1"/>
      <c r="L178" s="1"/>
      <c r="M178" s="1"/>
      <c r="N178" s="1"/>
      <c r="O178" s="1"/>
      <c r="P178" s="1"/>
      <c r="Q178" s="1"/>
      <c r="R178" s="1"/>
      <c r="S178" s="1"/>
      <c r="T178" s="1"/>
      <c r="U178" s="1"/>
      <c r="V178" s="1"/>
      <c r="W178" s="1"/>
      <c r="X178" s="1"/>
      <c r="Y178" s="1"/>
      <c r="Z178" s="1"/>
      <c r="AA178" s="1"/>
      <c r="AQ178" s="1"/>
    </row>
    <row r="179" spans="7:43" x14ac:dyDescent="0.25">
      <c r="G179" s="1"/>
      <c r="H179" s="1"/>
      <c r="I179" s="1"/>
      <c r="J179" s="1"/>
      <c r="K179" s="1"/>
      <c r="L179" s="1"/>
      <c r="M179" s="1"/>
      <c r="N179" s="1"/>
      <c r="O179" s="1"/>
      <c r="P179" s="1"/>
      <c r="Q179" s="1"/>
      <c r="R179" s="1"/>
      <c r="S179" s="1"/>
      <c r="T179" s="1"/>
      <c r="U179" s="1"/>
      <c r="V179" s="1"/>
      <c r="W179" s="1"/>
      <c r="X179" s="1"/>
      <c r="Y179" s="1"/>
      <c r="Z179" s="1"/>
      <c r="AA179" s="1"/>
      <c r="AQ179" s="1"/>
    </row>
    <row r="180" spans="7:43" x14ac:dyDescent="0.25">
      <c r="G180" s="1"/>
      <c r="H180" s="1"/>
      <c r="I180" s="1"/>
      <c r="J180" s="1"/>
      <c r="K180" s="1"/>
      <c r="L180" s="1"/>
      <c r="M180" s="1"/>
      <c r="N180" s="1"/>
      <c r="O180" s="1"/>
      <c r="P180" s="1"/>
      <c r="Q180" s="1"/>
      <c r="R180" s="1"/>
      <c r="S180" s="1"/>
      <c r="T180" s="1"/>
      <c r="U180" s="1"/>
      <c r="V180" s="1"/>
      <c r="W180" s="1"/>
      <c r="X180" s="1"/>
      <c r="Y180" s="1"/>
      <c r="Z180" s="1"/>
      <c r="AA180" s="1"/>
      <c r="AQ180" s="1"/>
    </row>
    <row r="181" spans="7:43" x14ac:dyDescent="0.25">
      <c r="G181" s="1"/>
      <c r="H181" s="1"/>
      <c r="I181" s="1"/>
      <c r="J181" s="1"/>
      <c r="K181" s="1"/>
      <c r="L181" s="1"/>
      <c r="M181" s="1"/>
      <c r="N181" s="1"/>
      <c r="O181" s="1"/>
      <c r="P181" s="1"/>
      <c r="Q181" s="1"/>
      <c r="R181" s="1"/>
      <c r="S181" s="1"/>
      <c r="T181" s="1"/>
      <c r="U181" s="1"/>
      <c r="V181" s="1"/>
      <c r="W181" s="1"/>
      <c r="X181" s="1"/>
      <c r="Y181" s="1"/>
      <c r="Z181" s="1"/>
      <c r="AA181" s="1"/>
      <c r="AQ181" s="1"/>
    </row>
    <row r="182" spans="7:43" x14ac:dyDescent="0.25">
      <c r="G182" s="1"/>
      <c r="H182" s="1"/>
      <c r="I182" s="1"/>
      <c r="J182" s="1"/>
      <c r="K182" s="1"/>
      <c r="L182" s="1"/>
      <c r="M182" s="1"/>
      <c r="N182" s="1"/>
      <c r="O182" s="1"/>
      <c r="P182" s="1"/>
      <c r="Q182" s="1"/>
      <c r="R182" s="1"/>
      <c r="S182" s="1"/>
      <c r="T182" s="1"/>
      <c r="U182" s="1"/>
      <c r="V182" s="1"/>
      <c r="W182" s="1"/>
      <c r="X182" s="1"/>
      <c r="Y182" s="1"/>
      <c r="Z182" s="1"/>
      <c r="AA182" s="1"/>
      <c r="AQ182" s="1"/>
    </row>
    <row r="183" spans="7:43" x14ac:dyDescent="0.25">
      <c r="G183" s="1"/>
      <c r="H183" s="1"/>
      <c r="I183" s="1"/>
      <c r="J183" s="1"/>
      <c r="K183" s="1"/>
      <c r="L183" s="1"/>
      <c r="M183" s="1"/>
      <c r="N183" s="1"/>
      <c r="O183" s="1"/>
      <c r="P183" s="1"/>
      <c r="Q183" s="1"/>
      <c r="R183" s="1"/>
      <c r="S183" s="1"/>
      <c r="T183" s="1"/>
      <c r="U183" s="1"/>
      <c r="V183" s="1"/>
      <c r="W183" s="1"/>
      <c r="X183" s="1"/>
      <c r="Y183" s="1"/>
      <c r="Z183" s="1"/>
      <c r="AA183" s="1"/>
      <c r="AQ183" s="1"/>
    </row>
    <row r="184" spans="7:43" x14ac:dyDescent="0.25">
      <c r="G184" s="1"/>
      <c r="H184" s="1"/>
      <c r="I184" s="1"/>
      <c r="J184" s="1"/>
      <c r="K184" s="1"/>
      <c r="L184" s="1"/>
      <c r="M184" s="1"/>
      <c r="N184" s="1"/>
      <c r="O184" s="1"/>
      <c r="P184" s="1"/>
      <c r="Q184" s="1"/>
      <c r="R184" s="1"/>
      <c r="S184" s="1"/>
      <c r="T184" s="1"/>
      <c r="U184" s="1"/>
      <c r="V184" s="1"/>
      <c r="W184" s="1"/>
      <c r="X184" s="1"/>
      <c r="Y184" s="1"/>
      <c r="Z184" s="1"/>
      <c r="AA184" s="1"/>
      <c r="AQ184" s="1"/>
    </row>
    <row r="185" spans="7:43" x14ac:dyDescent="0.25">
      <c r="G185" s="1"/>
      <c r="H185" s="1"/>
      <c r="I185" s="1"/>
      <c r="J185" s="1"/>
      <c r="K185" s="1"/>
      <c r="L185" s="1"/>
      <c r="M185" s="1"/>
      <c r="N185" s="1"/>
      <c r="O185" s="1"/>
      <c r="P185" s="1"/>
      <c r="Q185" s="1"/>
      <c r="R185" s="1"/>
      <c r="S185" s="1"/>
      <c r="T185" s="1"/>
      <c r="U185" s="1"/>
      <c r="V185" s="1"/>
      <c r="W185" s="1"/>
      <c r="X185" s="1"/>
      <c r="Y185" s="1"/>
      <c r="Z185" s="1"/>
      <c r="AA185" s="1"/>
      <c r="AQ185" s="1"/>
    </row>
    <row r="186" spans="7:43" x14ac:dyDescent="0.25">
      <c r="G186" s="1"/>
      <c r="H186" s="1"/>
      <c r="I186" s="1"/>
      <c r="J186" s="1"/>
      <c r="K186" s="1"/>
      <c r="L186" s="1"/>
      <c r="M186" s="1"/>
      <c r="N186" s="1"/>
      <c r="O186" s="1"/>
      <c r="P186" s="1"/>
      <c r="Q186" s="1"/>
      <c r="R186" s="1"/>
      <c r="S186" s="1"/>
      <c r="T186" s="1"/>
      <c r="U186" s="1"/>
      <c r="V186" s="1"/>
      <c r="W186" s="1"/>
      <c r="X186" s="1"/>
      <c r="Y186" s="1"/>
      <c r="Z186" s="1"/>
      <c r="AA186" s="1"/>
      <c r="AQ186" s="1"/>
    </row>
    <row r="187" spans="7:43" x14ac:dyDescent="0.25">
      <c r="G187" s="1"/>
      <c r="H187" s="1"/>
      <c r="I187" s="1"/>
      <c r="J187" s="1"/>
      <c r="K187" s="1"/>
      <c r="L187" s="1"/>
      <c r="M187" s="1"/>
      <c r="N187" s="1"/>
      <c r="O187" s="1"/>
      <c r="P187" s="1"/>
      <c r="Q187" s="1"/>
      <c r="R187" s="1"/>
      <c r="S187" s="1"/>
      <c r="T187" s="1"/>
      <c r="U187" s="1"/>
      <c r="V187" s="1"/>
      <c r="W187" s="1"/>
      <c r="X187" s="1"/>
      <c r="Y187" s="1"/>
      <c r="Z187" s="1"/>
      <c r="AA187" s="1"/>
      <c r="AQ187" s="1"/>
    </row>
    <row r="188" spans="7:43" x14ac:dyDescent="0.25">
      <c r="G188" s="1"/>
      <c r="H188" s="1"/>
      <c r="I188" s="1"/>
      <c r="J188" s="1"/>
      <c r="K188" s="1"/>
      <c r="L188" s="1"/>
      <c r="M188" s="1"/>
      <c r="N188" s="1"/>
      <c r="O188" s="1"/>
      <c r="P188" s="1"/>
      <c r="Q188" s="1"/>
      <c r="R188" s="1"/>
      <c r="S188" s="1"/>
      <c r="T188" s="1"/>
      <c r="U188" s="1"/>
      <c r="V188" s="1"/>
      <c r="W188" s="1"/>
      <c r="X188" s="1"/>
      <c r="Y188" s="1"/>
      <c r="Z188" s="1"/>
      <c r="AA188" s="1"/>
      <c r="AQ188" s="1"/>
    </row>
    <row r="189" spans="7:43" x14ac:dyDescent="0.25">
      <c r="G189" s="1"/>
      <c r="H189" s="1"/>
      <c r="I189" s="1"/>
      <c r="J189" s="1"/>
      <c r="K189" s="1"/>
      <c r="L189" s="1"/>
      <c r="M189" s="1"/>
      <c r="N189" s="1"/>
      <c r="O189" s="1"/>
      <c r="P189" s="1"/>
      <c r="Q189" s="1"/>
      <c r="R189" s="1"/>
      <c r="S189" s="1"/>
      <c r="T189" s="1"/>
      <c r="U189" s="1"/>
      <c r="V189" s="1"/>
      <c r="W189" s="1"/>
      <c r="X189" s="1"/>
      <c r="Y189" s="1"/>
      <c r="Z189" s="1"/>
      <c r="AA189" s="1"/>
      <c r="AQ189" s="1"/>
    </row>
    <row r="190" spans="7:43" x14ac:dyDescent="0.25">
      <c r="G190" s="1"/>
      <c r="H190" s="1"/>
      <c r="I190" s="1"/>
      <c r="J190" s="1"/>
      <c r="K190" s="1"/>
      <c r="L190" s="1"/>
      <c r="M190" s="1"/>
      <c r="N190" s="1"/>
      <c r="O190" s="1"/>
      <c r="P190" s="1"/>
      <c r="Q190" s="1"/>
      <c r="R190" s="1"/>
      <c r="S190" s="1"/>
      <c r="T190" s="1"/>
      <c r="U190" s="1"/>
      <c r="V190" s="1"/>
      <c r="W190" s="1"/>
      <c r="X190" s="1"/>
      <c r="Y190" s="1"/>
      <c r="Z190" s="1"/>
      <c r="AA190" s="1"/>
      <c r="AQ190" s="1"/>
    </row>
    <row r="191" spans="7:43" x14ac:dyDescent="0.25">
      <c r="G191" s="1"/>
      <c r="H191" s="1"/>
      <c r="I191" s="1"/>
      <c r="J191" s="1"/>
      <c r="K191" s="1"/>
      <c r="L191" s="1"/>
      <c r="M191" s="1"/>
      <c r="N191" s="1"/>
      <c r="O191" s="1"/>
      <c r="P191" s="1"/>
      <c r="Q191" s="1"/>
      <c r="R191" s="1"/>
      <c r="S191" s="1"/>
      <c r="T191" s="1"/>
      <c r="U191" s="1"/>
      <c r="V191" s="1"/>
      <c r="W191" s="1"/>
      <c r="X191" s="1"/>
      <c r="Y191" s="1"/>
      <c r="Z191" s="1"/>
      <c r="AA191" s="1"/>
      <c r="AQ191" s="1"/>
    </row>
    <row r="192" spans="7:43" x14ac:dyDescent="0.25">
      <c r="G192" s="1"/>
      <c r="H192" s="1"/>
      <c r="I192" s="1"/>
      <c r="J192" s="1"/>
      <c r="K192" s="1"/>
      <c r="L192" s="1"/>
      <c r="M192" s="1"/>
      <c r="N192" s="1"/>
      <c r="O192" s="1"/>
      <c r="P192" s="1"/>
      <c r="Q192" s="1"/>
      <c r="R192" s="1"/>
      <c r="S192" s="1"/>
      <c r="T192" s="1"/>
      <c r="U192" s="1"/>
      <c r="V192" s="1"/>
      <c r="W192" s="1"/>
      <c r="X192" s="1"/>
      <c r="Y192" s="1"/>
      <c r="Z192" s="1"/>
      <c r="AA192" s="1"/>
      <c r="AQ192" s="1"/>
    </row>
    <row r="193" spans="7:43" x14ac:dyDescent="0.25">
      <c r="G193" s="1"/>
      <c r="H193" s="1"/>
      <c r="I193" s="1"/>
      <c r="J193" s="1"/>
      <c r="K193" s="1"/>
      <c r="L193" s="1"/>
      <c r="M193" s="1"/>
      <c r="N193" s="1"/>
      <c r="O193" s="1"/>
      <c r="P193" s="1"/>
      <c r="Q193" s="1"/>
      <c r="R193" s="1"/>
      <c r="S193" s="1"/>
      <c r="T193" s="1"/>
      <c r="U193" s="1"/>
      <c r="V193" s="1"/>
      <c r="W193" s="1"/>
      <c r="X193" s="1"/>
      <c r="Y193" s="1"/>
      <c r="Z193" s="1"/>
      <c r="AA193" s="1"/>
      <c r="AQ193" s="1"/>
    </row>
    <row r="194" spans="7:43" x14ac:dyDescent="0.25">
      <c r="G194" s="1"/>
      <c r="H194" s="1"/>
      <c r="I194" s="1"/>
      <c r="J194" s="1"/>
      <c r="K194" s="1"/>
      <c r="L194" s="1"/>
      <c r="M194" s="1"/>
      <c r="N194" s="1"/>
      <c r="O194" s="1"/>
      <c r="P194" s="1"/>
      <c r="Q194" s="1"/>
      <c r="R194" s="1"/>
      <c r="S194" s="1"/>
      <c r="T194" s="1"/>
      <c r="U194" s="1"/>
      <c r="V194" s="1"/>
      <c r="W194" s="1"/>
      <c r="X194" s="1"/>
      <c r="Y194" s="1"/>
      <c r="Z194" s="1"/>
      <c r="AA194" s="1"/>
      <c r="AQ194" s="1"/>
    </row>
    <row r="195" spans="7:43" x14ac:dyDescent="0.25">
      <c r="G195" s="1"/>
      <c r="H195" s="1"/>
      <c r="I195" s="1"/>
      <c r="J195" s="1"/>
      <c r="K195" s="1"/>
      <c r="L195" s="1"/>
      <c r="M195" s="1"/>
      <c r="N195" s="1"/>
      <c r="O195" s="1"/>
      <c r="P195" s="1"/>
      <c r="Q195" s="1"/>
      <c r="R195" s="1"/>
      <c r="S195" s="1"/>
      <c r="T195" s="1"/>
      <c r="U195" s="1"/>
      <c r="V195" s="1"/>
      <c r="W195" s="1"/>
      <c r="X195" s="1"/>
      <c r="Y195" s="1"/>
      <c r="Z195" s="1"/>
      <c r="AA195" s="1"/>
      <c r="AQ195" s="1"/>
    </row>
    <row r="196" spans="7:43" x14ac:dyDescent="0.25">
      <c r="G196" s="1"/>
      <c r="H196" s="1"/>
      <c r="I196" s="1"/>
      <c r="J196" s="1"/>
      <c r="K196" s="1"/>
      <c r="L196" s="1"/>
      <c r="M196" s="1"/>
      <c r="N196" s="1"/>
      <c r="O196" s="1"/>
      <c r="P196" s="1"/>
      <c r="Q196" s="1"/>
      <c r="R196" s="1"/>
      <c r="S196" s="1"/>
      <c r="T196" s="1"/>
      <c r="U196" s="1"/>
      <c r="V196" s="1"/>
      <c r="W196" s="1"/>
      <c r="X196" s="1"/>
      <c r="Y196" s="1"/>
      <c r="Z196" s="1"/>
      <c r="AA196" s="1"/>
      <c r="AQ196" s="1"/>
    </row>
    <row r="197" spans="7:43" x14ac:dyDescent="0.25">
      <c r="G197" s="1"/>
      <c r="H197" s="1"/>
      <c r="I197" s="1"/>
      <c r="J197" s="1"/>
      <c r="K197" s="1"/>
      <c r="L197" s="1"/>
      <c r="M197" s="1"/>
      <c r="N197" s="1"/>
      <c r="O197" s="1"/>
      <c r="P197" s="1"/>
      <c r="Q197" s="1"/>
      <c r="R197" s="1"/>
      <c r="S197" s="1"/>
      <c r="T197" s="1"/>
      <c r="U197" s="1"/>
      <c r="V197" s="1"/>
      <c r="W197" s="1"/>
      <c r="X197" s="1"/>
      <c r="Y197" s="1"/>
      <c r="Z197" s="1"/>
      <c r="AA197" s="1"/>
      <c r="AQ197" s="1"/>
    </row>
    <row r="198" spans="7:43" x14ac:dyDescent="0.25">
      <c r="G198" s="1"/>
      <c r="H198" s="1"/>
      <c r="I198" s="1"/>
      <c r="J198" s="1"/>
      <c r="K198" s="1"/>
      <c r="L198" s="1"/>
      <c r="M198" s="1"/>
      <c r="N198" s="1"/>
      <c r="O198" s="1"/>
      <c r="P198" s="1"/>
      <c r="Q198" s="1"/>
      <c r="R198" s="1"/>
      <c r="S198" s="1"/>
      <c r="T198" s="1"/>
      <c r="U198" s="1"/>
      <c r="V198" s="1"/>
      <c r="W198" s="1"/>
      <c r="X198" s="1"/>
      <c r="Y198" s="1"/>
      <c r="Z198" s="1"/>
      <c r="AA198" s="1"/>
      <c r="AQ198" s="1"/>
    </row>
    <row r="199" spans="7:43" x14ac:dyDescent="0.25">
      <c r="G199" s="1"/>
      <c r="H199" s="1"/>
      <c r="I199" s="1"/>
      <c r="J199" s="1"/>
      <c r="K199" s="1"/>
      <c r="L199" s="1"/>
      <c r="M199" s="1"/>
      <c r="N199" s="1"/>
      <c r="O199" s="1"/>
      <c r="P199" s="1"/>
      <c r="Q199" s="1"/>
      <c r="R199" s="1"/>
      <c r="S199" s="1"/>
      <c r="T199" s="1"/>
      <c r="U199" s="1"/>
      <c r="V199" s="1"/>
      <c r="W199" s="1"/>
      <c r="X199" s="1"/>
      <c r="Y199" s="1"/>
      <c r="Z199" s="1"/>
      <c r="AA199" s="1"/>
      <c r="AQ199" s="1"/>
    </row>
    <row r="200" spans="7:43" x14ac:dyDescent="0.25">
      <c r="G200" s="1"/>
      <c r="H200" s="1"/>
      <c r="I200" s="1"/>
      <c r="J200" s="1"/>
      <c r="K200" s="1"/>
      <c r="L200" s="1"/>
      <c r="M200" s="1"/>
      <c r="N200" s="1"/>
      <c r="O200" s="1"/>
      <c r="P200" s="1"/>
      <c r="Q200" s="1"/>
      <c r="R200" s="1"/>
      <c r="S200" s="1"/>
      <c r="T200" s="1"/>
      <c r="U200" s="1"/>
      <c r="V200" s="1"/>
      <c r="W200" s="1"/>
      <c r="X200" s="1"/>
      <c r="Y200" s="1"/>
      <c r="Z200" s="1"/>
      <c r="AA200" s="1"/>
      <c r="AQ200" s="1"/>
    </row>
    <row r="201" spans="7:43" x14ac:dyDescent="0.25">
      <c r="G201" s="1"/>
      <c r="H201" s="1"/>
      <c r="I201" s="1"/>
      <c r="J201" s="1"/>
      <c r="K201" s="1"/>
      <c r="L201" s="1"/>
      <c r="M201" s="1"/>
      <c r="N201" s="1"/>
      <c r="O201" s="1"/>
      <c r="P201" s="1"/>
      <c r="Q201" s="1"/>
      <c r="R201" s="1"/>
      <c r="S201" s="1"/>
      <c r="T201" s="1"/>
      <c r="U201" s="1"/>
      <c r="V201" s="1"/>
      <c r="W201" s="1"/>
      <c r="X201" s="1"/>
      <c r="Y201" s="1"/>
      <c r="Z201" s="1"/>
      <c r="AA201" s="1"/>
      <c r="AQ201" s="1"/>
    </row>
    <row r="202" spans="7:43" x14ac:dyDescent="0.25">
      <c r="G202" s="1"/>
      <c r="H202" s="1"/>
      <c r="I202" s="1"/>
      <c r="J202" s="1"/>
      <c r="K202" s="1"/>
      <c r="L202" s="1"/>
      <c r="M202" s="1"/>
      <c r="N202" s="1"/>
      <c r="O202" s="1"/>
      <c r="P202" s="1"/>
      <c r="Q202" s="1"/>
      <c r="R202" s="1"/>
      <c r="S202" s="1"/>
      <c r="T202" s="1"/>
      <c r="U202" s="1"/>
      <c r="V202" s="1"/>
      <c r="W202" s="1"/>
      <c r="X202" s="1"/>
      <c r="Y202" s="1"/>
      <c r="Z202" s="1"/>
      <c r="AA202" s="1"/>
      <c r="AQ202" s="1"/>
    </row>
    <row r="203" spans="7:43" x14ac:dyDescent="0.25">
      <c r="G203" s="1"/>
      <c r="H203" s="1"/>
      <c r="I203" s="1"/>
      <c r="J203" s="1"/>
      <c r="K203" s="1"/>
      <c r="L203" s="1"/>
      <c r="M203" s="1"/>
      <c r="N203" s="1"/>
      <c r="O203" s="1"/>
      <c r="P203" s="1"/>
      <c r="Q203" s="1"/>
      <c r="R203" s="1"/>
      <c r="S203" s="1"/>
      <c r="T203" s="1"/>
      <c r="U203" s="1"/>
      <c r="V203" s="1"/>
      <c r="W203" s="1"/>
      <c r="X203" s="1"/>
      <c r="Y203" s="1"/>
      <c r="Z203" s="1"/>
      <c r="AA203" s="1"/>
      <c r="AQ203" s="1"/>
    </row>
    <row r="204" spans="7:43" x14ac:dyDescent="0.25">
      <c r="G204" s="1"/>
      <c r="H204" s="1"/>
      <c r="I204" s="1"/>
      <c r="J204" s="1"/>
      <c r="K204" s="1"/>
      <c r="L204" s="1"/>
      <c r="M204" s="1"/>
      <c r="N204" s="1"/>
      <c r="O204" s="1"/>
      <c r="P204" s="1"/>
      <c r="Q204" s="1"/>
      <c r="R204" s="1"/>
      <c r="S204" s="1"/>
      <c r="T204" s="1"/>
      <c r="U204" s="1"/>
      <c r="V204" s="1"/>
      <c r="W204" s="1"/>
      <c r="X204" s="1"/>
      <c r="Y204" s="1"/>
      <c r="Z204" s="1"/>
      <c r="AA204" s="1"/>
      <c r="AQ204" s="1"/>
    </row>
    <row r="205" spans="7:43" x14ac:dyDescent="0.25">
      <c r="G205" s="1"/>
      <c r="H205" s="1"/>
      <c r="I205" s="1"/>
      <c r="J205" s="1"/>
      <c r="K205" s="1"/>
      <c r="L205" s="1"/>
      <c r="M205" s="1"/>
      <c r="N205" s="1"/>
      <c r="O205" s="1"/>
      <c r="P205" s="1"/>
      <c r="Q205" s="1"/>
      <c r="R205" s="1"/>
      <c r="S205" s="1"/>
      <c r="T205" s="1"/>
      <c r="U205" s="1"/>
      <c r="V205" s="1"/>
      <c r="W205" s="1"/>
      <c r="X205" s="1"/>
      <c r="Y205" s="1"/>
      <c r="Z205" s="1"/>
      <c r="AA205" s="1"/>
      <c r="AQ205" s="1"/>
    </row>
    <row r="206" spans="7:43" x14ac:dyDescent="0.25">
      <c r="G206" s="1"/>
      <c r="H206" s="1"/>
      <c r="I206" s="1"/>
      <c r="J206" s="1"/>
      <c r="K206" s="1"/>
      <c r="L206" s="1"/>
      <c r="M206" s="1"/>
      <c r="N206" s="1"/>
      <c r="O206" s="1"/>
      <c r="P206" s="1"/>
      <c r="Q206" s="1"/>
      <c r="R206" s="1"/>
      <c r="S206" s="1"/>
      <c r="T206" s="1"/>
      <c r="U206" s="1"/>
      <c r="V206" s="1"/>
      <c r="W206" s="1"/>
      <c r="X206" s="1"/>
      <c r="Y206" s="1"/>
      <c r="Z206" s="1"/>
      <c r="AA206" s="1"/>
      <c r="AQ206" s="1"/>
    </row>
    <row r="207" spans="7:43" x14ac:dyDescent="0.25">
      <c r="G207" s="1"/>
      <c r="H207" s="1"/>
      <c r="I207" s="1"/>
      <c r="J207" s="1"/>
      <c r="K207" s="1"/>
      <c r="L207" s="1"/>
      <c r="M207" s="1"/>
      <c r="N207" s="1"/>
      <c r="O207" s="1"/>
      <c r="P207" s="1"/>
      <c r="Q207" s="1"/>
      <c r="R207" s="1"/>
      <c r="S207" s="1"/>
      <c r="T207" s="1"/>
      <c r="U207" s="1"/>
      <c r="V207" s="1"/>
      <c r="W207" s="1"/>
      <c r="X207" s="1"/>
      <c r="Y207" s="1"/>
      <c r="Z207" s="1"/>
      <c r="AA207" s="1"/>
      <c r="AQ207" s="1"/>
    </row>
    <row r="208" spans="7:43" x14ac:dyDescent="0.25">
      <c r="G208" s="1"/>
      <c r="H208" s="1"/>
      <c r="I208" s="1"/>
      <c r="J208" s="1"/>
      <c r="K208" s="1"/>
      <c r="L208" s="1"/>
      <c r="M208" s="1"/>
      <c r="N208" s="1"/>
      <c r="O208" s="1"/>
      <c r="P208" s="1"/>
      <c r="Q208" s="1"/>
      <c r="R208" s="1"/>
      <c r="S208" s="1"/>
      <c r="T208" s="1"/>
      <c r="U208" s="1"/>
      <c r="V208" s="1"/>
      <c r="W208" s="1"/>
      <c r="X208" s="1"/>
      <c r="Y208" s="1"/>
      <c r="Z208" s="1"/>
      <c r="AA208" s="1"/>
      <c r="AQ208" s="1"/>
    </row>
    <row r="209" spans="7:43" x14ac:dyDescent="0.25">
      <c r="G209" s="1"/>
      <c r="H209" s="1"/>
      <c r="I209" s="1"/>
      <c r="J209" s="1"/>
      <c r="K209" s="1"/>
      <c r="L209" s="1"/>
      <c r="M209" s="1"/>
      <c r="N209" s="1"/>
      <c r="O209" s="1"/>
      <c r="P209" s="1"/>
      <c r="Q209" s="1"/>
      <c r="R209" s="1"/>
      <c r="S209" s="1"/>
      <c r="T209" s="1"/>
      <c r="U209" s="1"/>
      <c r="V209" s="1"/>
      <c r="W209" s="1"/>
      <c r="X209" s="1"/>
      <c r="Y209" s="1"/>
      <c r="Z209" s="1"/>
      <c r="AA209" s="1"/>
      <c r="AQ209" s="1"/>
    </row>
    <row r="210" spans="7:43" x14ac:dyDescent="0.25">
      <c r="G210" s="1"/>
      <c r="H210" s="1"/>
      <c r="I210" s="1"/>
      <c r="J210" s="1"/>
      <c r="K210" s="1"/>
      <c r="L210" s="1"/>
      <c r="M210" s="1"/>
      <c r="N210" s="1"/>
      <c r="O210" s="1"/>
      <c r="P210" s="1"/>
      <c r="Q210" s="1"/>
      <c r="R210" s="1"/>
      <c r="S210" s="1"/>
      <c r="T210" s="1"/>
      <c r="U210" s="1"/>
      <c r="V210" s="1"/>
      <c r="W210" s="1"/>
      <c r="X210" s="1"/>
      <c r="Y210" s="1"/>
      <c r="Z210" s="1"/>
      <c r="AA210" s="1"/>
      <c r="AQ210" s="1"/>
    </row>
    <row r="211" spans="7:43" x14ac:dyDescent="0.25">
      <c r="G211" s="1"/>
      <c r="H211" s="1"/>
      <c r="I211" s="1"/>
      <c r="J211" s="1"/>
      <c r="K211" s="1"/>
      <c r="L211" s="1"/>
      <c r="M211" s="1"/>
      <c r="N211" s="1"/>
      <c r="O211" s="1"/>
      <c r="P211" s="1"/>
      <c r="Q211" s="1"/>
      <c r="R211" s="1"/>
      <c r="S211" s="1"/>
      <c r="T211" s="1"/>
      <c r="U211" s="1"/>
      <c r="V211" s="1"/>
      <c r="W211" s="1"/>
      <c r="X211" s="1"/>
      <c r="Y211" s="1"/>
      <c r="Z211" s="1"/>
      <c r="AA211" s="1"/>
      <c r="AQ211" s="1"/>
    </row>
    <row r="212" spans="7:43" x14ac:dyDescent="0.25">
      <c r="G212" s="1"/>
      <c r="H212" s="1"/>
      <c r="I212" s="1"/>
      <c r="J212" s="1"/>
      <c r="K212" s="1"/>
      <c r="L212" s="1"/>
      <c r="M212" s="1"/>
      <c r="N212" s="1"/>
      <c r="O212" s="1"/>
      <c r="P212" s="1"/>
      <c r="Q212" s="1"/>
      <c r="R212" s="1"/>
      <c r="S212" s="1"/>
      <c r="T212" s="1"/>
      <c r="U212" s="1"/>
      <c r="V212" s="1"/>
      <c r="W212" s="1"/>
      <c r="X212" s="1"/>
      <c r="Y212" s="1"/>
      <c r="Z212" s="1"/>
      <c r="AA212" s="1"/>
      <c r="AQ212" s="1"/>
    </row>
    <row r="213" spans="7:43" x14ac:dyDescent="0.25">
      <c r="G213" s="1"/>
      <c r="H213" s="1"/>
      <c r="I213" s="1"/>
      <c r="J213" s="1"/>
      <c r="K213" s="1"/>
      <c r="L213" s="1"/>
      <c r="M213" s="1"/>
      <c r="N213" s="1"/>
      <c r="O213" s="1"/>
      <c r="P213" s="1"/>
      <c r="Q213" s="1"/>
      <c r="R213" s="1"/>
      <c r="S213" s="1"/>
      <c r="T213" s="1"/>
      <c r="U213" s="1"/>
      <c r="V213" s="1"/>
      <c r="W213" s="1"/>
      <c r="X213" s="1"/>
      <c r="Y213" s="1"/>
      <c r="Z213" s="1"/>
      <c r="AA213" s="1"/>
      <c r="AQ213" s="1"/>
    </row>
    <row r="214" spans="7:43" x14ac:dyDescent="0.25">
      <c r="G214" s="1"/>
      <c r="H214" s="1"/>
      <c r="I214" s="1"/>
      <c r="J214" s="1"/>
      <c r="K214" s="1"/>
      <c r="L214" s="1"/>
      <c r="M214" s="1"/>
      <c r="N214" s="1"/>
      <c r="O214" s="1"/>
      <c r="P214" s="1"/>
      <c r="Q214" s="1"/>
      <c r="R214" s="1"/>
      <c r="S214" s="1"/>
      <c r="T214" s="1"/>
      <c r="U214" s="1"/>
      <c r="V214" s="1"/>
      <c r="W214" s="1"/>
      <c r="X214" s="1"/>
      <c r="Y214" s="1"/>
      <c r="Z214" s="1"/>
      <c r="AA214" s="1"/>
      <c r="AQ214" s="1"/>
    </row>
    <row r="215" spans="7:43" x14ac:dyDescent="0.25">
      <c r="G215" s="1"/>
      <c r="H215" s="1"/>
      <c r="I215" s="1"/>
      <c r="J215" s="1"/>
      <c r="K215" s="1"/>
      <c r="L215" s="1"/>
      <c r="M215" s="1"/>
      <c r="N215" s="1"/>
      <c r="O215" s="1"/>
      <c r="P215" s="1"/>
      <c r="Q215" s="1"/>
      <c r="R215" s="1"/>
      <c r="S215" s="1"/>
      <c r="T215" s="1"/>
      <c r="U215" s="1"/>
      <c r="V215" s="1"/>
      <c r="W215" s="1"/>
      <c r="X215" s="1"/>
      <c r="Y215" s="1"/>
      <c r="Z215" s="1"/>
      <c r="AA215" s="1"/>
      <c r="AQ215" s="1"/>
    </row>
    <row r="216" spans="7:43" x14ac:dyDescent="0.25">
      <c r="G216" s="1"/>
      <c r="H216" s="1"/>
      <c r="I216" s="1"/>
      <c r="J216" s="1"/>
      <c r="K216" s="1"/>
      <c r="L216" s="1"/>
      <c r="M216" s="1"/>
      <c r="N216" s="1"/>
      <c r="O216" s="1"/>
      <c r="P216" s="1"/>
      <c r="Q216" s="1"/>
      <c r="R216" s="1"/>
      <c r="S216" s="1"/>
      <c r="T216" s="1"/>
      <c r="U216" s="1"/>
      <c r="V216" s="1"/>
      <c r="W216" s="1"/>
      <c r="X216" s="1"/>
      <c r="Y216" s="1"/>
      <c r="Z216" s="1"/>
      <c r="AA216" s="1"/>
      <c r="AQ216" s="1"/>
    </row>
    <row r="217" spans="7:43" x14ac:dyDescent="0.25">
      <c r="G217" s="1"/>
      <c r="H217" s="1"/>
      <c r="I217" s="1"/>
      <c r="J217" s="1"/>
      <c r="K217" s="1"/>
      <c r="L217" s="1"/>
      <c r="M217" s="1"/>
      <c r="N217" s="1"/>
      <c r="O217" s="1"/>
      <c r="P217" s="1"/>
      <c r="Q217" s="1"/>
      <c r="R217" s="1"/>
      <c r="S217" s="1"/>
      <c r="T217" s="1"/>
      <c r="U217" s="1"/>
      <c r="V217" s="1"/>
      <c r="W217" s="1"/>
      <c r="X217" s="1"/>
      <c r="Y217" s="1"/>
      <c r="Z217" s="1"/>
      <c r="AA217" s="1"/>
      <c r="AQ217" s="1"/>
    </row>
    <row r="218" spans="7:43" x14ac:dyDescent="0.25">
      <c r="G218" s="1"/>
      <c r="H218" s="1"/>
      <c r="I218" s="1"/>
      <c r="J218" s="1"/>
      <c r="K218" s="1"/>
      <c r="L218" s="1"/>
      <c r="M218" s="1"/>
      <c r="N218" s="1"/>
      <c r="O218" s="1"/>
      <c r="P218" s="1"/>
      <c r="Q218" s="1"/>
      <c r="R218" s="1"/>
      <c r="S218" s="1"/>
      <c r="T218" s="1"/>
      <c r="U218" s="1"/>
      <c r="V218" s="1"/>
      <c r="W218" s="1"/>
      <c r="X218" s="1"/>
      <c r="Y218" s="1"/>
      <c r="Z218" s="1"/>
      <c r="AA218" s="1"/>
      <c r="AQ218" s="1"/>
    </row>
    <row r="219" spans="7:43" x14ac:dyDescent="0.25">
      <c r="G219" s="1"/>
      <c r="H219" s="1"/>
      <c r="I219" s="1"/>
      <c r="J219" s="1"/>
      <c r="K219" s="1"/>
      <c r="L219" s="1"/>
      <c r="M219" s="1"/>
      <c r="N219" s="1"/>
      <c r="O219" s="1"/>
      <c r="P219" s="1"/>
      <c r="Q219" s="1"/>
      <c r="R219" s="1"/>
      <c r="S219" s="1"/>
      <c r="T219" s="1"/>
      <c r="U219" s="1"/>
      <c r="V219" s="1"/>
      <c r="W219" s="1"/>
      <c r="X219" s="1"/>
      <c r="Y219" s="1"/>
      <c r="Z219" s="1"/>
      <c r="AA219" s="1"/>
      <c r="AQ219" s="1"/>
    </row>
    <row r="220" spans="7:43" x14ac:dyDescent="0.25">
      <c r="G220" s="1"/>
      <c r="H220" s="1"/>
      <c r="I220" s="1"/>
      <c r="J220" s="1"/>
      <c r="K220" s="1"/>
      <c r="L220" s="1"/>
      <c r="M220" s="1"/>
      <c r="N220" s="1"/>
      <c r="O220" s="1"/>
      <c r="P220" s="1"/>
      <c r="Q220" s="1"/>
      <c r="R220" s="1"/>
      <c r="S220" s="1"/>
      <c r="T220" s="1"/>
      <c r="U220" s="1"/>
      <c r="V220" s="1"/>
      <c r="W220" s="1"/>
      <c r="X220" s="1"/>
      <c r="Y220" s="1"/>
      <c r="Z220" s="1"/>
      <c r="AA220" s="1"/>
      <c r="AQ220" s="1"/>
    </row>
    <row r="221" spans="7:43" x14ac:dyDescent="0.25">
      <c r="G221" s="1"/>
      <c r="H221" s="1"/>
      <c r="I221" s="1"/>
      <c r="J221" s="1"/>
      <c r="K221" s="1"/>
      <c r="L221" s="1"/>
      <c r="M221" s="1"/>
      <c r="N221" s="1"/>
      <c r="O221" s="1"/>
      <c r="P221" s="1"/>
      <c r="Q221" s="1"/>
      <c r="R221" s="1"/>
      <c r="S221" s="1"/>
      <c r="T221" s="1"/>
      <c r="U221" s="1"/>
      <c r="V221" s="1"/>
      <c r="W221" s="1"/>
      <c r="X221" s="1"/>
      <c r="Y221" s="1"/>
      <c r="Z221" s="1"/>
      <c r="AA221" s="1"/>
      <c r="AQ221" s="1"/>
    </row>
    <row r="222" spans="7:43" x14ac:dyDescent="0.25">
      <c r="G222" s="1"/>
      <c r="H222" s="1"/>
      <c r="I222" s="1"/>
      <c r="J222" s="1"/>
      <c r="K222" s="1"/>
      <c r="L222" s="1"/>
      <c r="M222" s="1"/>
      <c r="N222" s="1"/>
      <c r="O222" s="1"/>
      <c r="P222" s="1"/>
      <c r="Q222" s="1"/>
      <c r="R222" s="1"/>
      <c r="S222" s="1"/>
      <c r="T222" s="1"/>
      <c r="U222" s="1"/>
      <c r="V222" s="1"/>
      <c r="W222" s="1"/>
      <c r="X222" s="1"/>
      <c r="Y222" s="1"/>
      <c r="Z222" s="1"/>
      <c r="AA222" s="1"/>
      <c r="AQ222" s="1"/>
    </row>
    <row r="223" spans="7:43" x14ac:dyDescent="0.25">
      <c r="G223" s="1"/>
      <c r="H223" s="1"/>
      <c r="I223" s="1"/>
      <c r="J223" s="1"/>
      <c r="K223" s="1"/>
      <c r="L223" s="1"/>
      <c r="M223" s="1"/>
      <c r="N223" s="1"/>
      <c r="O223" s="1"/>
      <c r="P223" s="1"/>
      <c r="Q223" s="1"/>
      <c r="R223" s="1"/>
      <c r="S223" s="1"/>
      <c r="T223" s="1"/>
      <c r="U223" s="1"/>
      <c r="V223" s="1"/>
      <c r="W223" s="1"/>
      <c r="X223" s="1"/>
      <c r="Y223" s="1"/>
      <c r="Z223" s="1"/>
      <c r="AA223" s="1"/>
      <c r="AQ223" s="1"/>
    </row>
    <row r="224" spans="7:43" x14ac:dyDescent="0.25">
      <c r="G224" s="1"/>
      <c r="H224" s="1"/>
      <c r="I224" s="1"/>
      <c r="J224" s="1"/>
      <c r="K224" s="1"/>
      <c r="L224" s="1"/>
      <c r="M224" s="1"/>
      <c r="N224" s="1"/>
      <c r="O224" s="1"/>
      <c r="P224" s="1"/>
      <c r="Q224" s="1"/>
      <c r="R224" s="1"/>
      <c r="S224" s="1"/>
      <c r="T224" s="1"/>
      <c r="U224" s="1"/>
      <c r="V224" s="1"/>
      <c r="W224" s="1"/>
      <c r="X224" s="1"/>
      <c r="Y224" s="1"/>
      <c r="Z224" s="1"/>
      <c r="AA224" s="1"/>
      <c r="AQ224" s="1"/>
    </row>
    <row r="225" spans="7:43" x14ac:dyDescent="0.25">
      <c r="G225" s="1"/>
      <c r="H225" s="1"/>
      <c r="I225" s="1"/>
      <c r="J225" s="1"/>
      <c r="K225" s="1"/>
      <c r="L225" s="1"/>
      <c r="M225" s="1"/>
      <c r="N225" s="1"/>
      <c r="O225" s="1"/>
      <c r="P225" s="1"/>
      <c r="Q225" s="1"/>
      <c r="R225" s="1"/>
      <c r="S225" s="1"/>
      <c r="T225" s="1"/>
      <c r="U225" s="1"/>
      <c r="V225" s="1"/>
      <c r="W225" s="1"/>
      <c r="X225" s="1"/>
      <c r="Y225" s="1"/>
      <c r="Z225" s="1"/>
      <c r="AA225" s="1"/>
      <c r="AQ225" s="1"/>
    </row>
    <row r="226" spans="7:43" x14ac:dyDescent="0.25">
      <c r="G226" s="1"/>
      <c r="H226" s="1"/>
      <c r="I226" s="1"/>
      <c r="J226" s="1"/>
      <c r="K226" s="1"/>
      <c r="L226" s="1"/>
      <c r="M226" s="1"/>
      <c r="N226" s="1"/>
      <c r="O226" s="1"/>
      <c r="P226" s="1"/>
      <c r="Q226" s="1"/>
      <c r="R226" s="1"/>
      <c r="S226" s="1"/>
      <c r="T226" s="1"/>
      <c r="U226" s="1"/>
      <c r="V226" s="1"/>
      <c r="W226" s="1"/>
      <c r="X226" s="1"/>
      <c r="Y226" s="1"/>
      <c r="Z226" s="1"/>
      <c r="AA226" s="1"/>
      <c r="AQ226" s="1"/>
    </row>
    <row r="227" spans="7:43" x14ac:dyDescent="0.25">
      <c r="G227" s="1"/>
      <c r="H227" s="1"/>
      <c r="I227" s="1"/>
      <c r="J227" s="1"/>
      <c r="K227" s="1"/>
      <c r="L227" s="1"/>
      <c r="M227" s="1"/>
      <c r="N227" s="1"/>
      <c r="O227" s="1"/>
      <c r="P227" s="1"/>
      <c r="Q227" s="1"/>
      <c r="R227" s="1"/>
      <c r="S227" s="1"/>
      <c r="T227" s="1"/>
      <c r="U227" s="1"/>
      <c r="V227" s="1"/>
      <c r="W227" s="1"/>
      <c r="X227" s="1"/>
      <c r="Y227" s="1"/>
      <c r="Z227" s="1"/>
      <c r="AA227" s="1"/>
      <c r="AQ227" s="1"/>
    </row>
    <row r="228" spans="7:43" x14ac:dyDescent="0.25">
      <c r="G228" s="1"/>
      <c r="H228" s="1"/>
      <c r="I228" s="1"/>
      <c r="J228" s="1"/>
      <c r="K228" s="1"/>
      <c r="L228" s="1"/>
      <c r="M228" s="1"/>
      <c r="N228" s="1"/>
      <c r="O228" s="1"/>
      <c r="P228" s="1"/>
      <c r="Q228" s="1"/>
      <c r="R228" s="1"/>
      <c r="S228" s="1"/>
      <c r="T228" s="1"/>
      <c r="U228" s="1"/>
      <c r="V228" s="1"/>
      <c r="W228" s="1"/>
      <c r="X228" s="1"/>
      <c r="Y228" s="1"/>
      <c r="Z228" s="1"/>
      <c r="AA228" s="1"/>
      <c r="AQ228" s="1"/>
    </row>
    <row r="229" spans="7:43" x14ac:dyDescent="0.25">
      <c r="G229" s="1"/>
      <c r="H229" s="1"/>
      <c r="I229" s="1"/>
      <c r="J229" s="1"/>
      <c r="K229" s="1"/>
      <c r="L229" s="1"/>
      <c r="M229" s="1"/>
      <c r="N229" s="1"/>
      <c r="O229" s="1"/>
      <c r="P229" s="1"/>
      <c r="Q229" s="1"/>
      <c r="R229" s="1"/>
      <c r="S229" s="1"/>
      <c r="T229" s="1"/>
      <c r="U229" s="1"/>
      <c r="V229" s="1"/>
      <c r="W229" s="1"/>
      <c r="X229" s="1"/>
      <c r="Y229" s="1"/>
      <c r="Z229" s="1"/>
      <c r="AA229" s="1"/>
      <c r="AQ229" s="1"/>
    </row>
    <row r="230" spans="7:43" x14ac:dyDescent="0.25">
      <c r="G230" s="1"/>
      <c r="H230" s="1"/>
      <c r="I230" s="1"/>
      <c r="J230" s="1"/>
      <c r="K230" s="1"/>
      <c r="L230" s="1"/>
      <c r="M230" s="1"/>
      <c r="N230" s="1"/>
      <c r="O230" s="1"/>
      <c r="P230" s="1"/>
      <c r="Q230" s="1"/>
      <c r="R230" s="1"/>
      <c r="S230" s="1"/>
      <c r="T230" s="1"/>
      <c r="U230" s="1"/>
      <c r="V230" s="1"/>
      <c r="W230" s="1"/>
      <c r="X230" s="1"/>
      <c r="Y230" s="1"/>
      <c r="Z230" s="1"/>
      <c r="AA230" s="1"/>
      <c r="AQ230" s="1"/>
    </row>
    <row r="231" spans="7:43" x14ac:dyDescent="0.25">
      <c r="G231" s="1"/>
      <c r="H231" s="1"/>
      <c r="I231" s="1"/>
      <c r="J231" s="1"/>
      <c r="K231" s="1"/>
      <c r="L231" s="1"/>
      <c r="M231" s="1"/>
      <c r="N231" s="1"/>
      <c r="O231" s="1"/>
      <c r="P231" s="1"/>
      <c r="Q231" s="1"/>
      <c r="R231" s="1"/>
      <c r="S231" s="1"/>
      <c r="T231" s="1"/>
      <c r="U231" s="1"/>
      <c r="V231" s="1"/>
      <c r="W231" s="1"/>
      <c r="X231" s="1"/>
      <c r="Y231" s="1"/>
      <c r="Z231" s="1"/>
      <c r="AA231" s="1"/>
      <c r="AQ231" s="1"/>
    </row>
    <row r="232" spans="7:43" x14ac:dyDescent="0.25">
      <c r="G232" s="1"/>
      <c r="H232" s="1"/>
      <c r="I232" s="1"/>
      <c r="J232" s="1"/>
      <c r="K232" s="1"/>
      <c r="L232" s="1"/>
      <c r="M232" s="1"/>
      <c r="N232" s="1"/>
      <c r="O232" s="1"/>
      <c r="P232" s="1"/>
      <c r="Q232" s="1"/>
      <c r="R232" s="1"/>
      <c r="S232" s="1"/>
      <c r="T232" s="1"/>
      <c r="U232" s="1"/>
      <c r="V232" s="1"/>
      <c r="W232" s="1"/>
      <c r="X232" s="1"/>
      <c r="Y232" s="1"/>
      <c r="Z232" s="1"/>
      <c r="AA232" s="1"/>
      <c r="AQ232" s="1"/>
    </row>
    <row r="233" spans="7:43" x14ac:dyDescent="0.25">
      <c r="G233" s="1"/>
      <c r="H233" s="1"/>
      <c r="I233" s="1"/>
      <c r="J233" s="1"/>
      <c r="K233" s="1"/>
      <c r="L233" s="1"/>
      <c r="M233" s="1"/>
      <c r="N233" s="1"/>
      <c r="O233" s="1"/>
      <c r="P233" s="1"/>
      <c r="Q233" s="1"/>
      <c r="R233" s="1"/>
      <c r="S233" s="1"/>
      <c r="T233" s="1"/>
      <c r="U233" s="1"/>
      <c r="V233" s="1"/>
      <c r="W233" s="1"/>
      <c r="X233" s="1"/>
      <c r="Y233" s="1"/>
      <c r="Z233" s="1"/>
      <c r="AA233" s="1"/>
      <c r="AQ233" s="1"/>
    </row>
    <row r="234" spans="7:43" x14ac:dyDescent="0.25">
      <c r="G234" s="1"/>
      <c r="H234" s="1"/>
      <c r="I234" s="1"/>
      <c r="J234" s="1"/>
      <c r="K234" s="1"/>
      <c r="L234" s="1"/>
      <c r="M234" s="1"/>
      <c r="N234" s="1"/>
      <c r="O234" s="1"/>
      <c r="P234" s="1"/>
      <c r="Q234" s="1"/>
      <c r="R234" s="1"/>
      <c r="S234" s="1"/>
      <c r="T234" s="1"/>
      <c r="U234" s="1"/>
      <c r="V234" s="1"/>
      <c r="W234" s="1"/>
      <c r="X234" s="1"/>
      <c r="Y234" s="1"/>
      <c r="Z234" s="1"/>
      <c r="AA234" s="1"/>
      <c r="AQ234" s="1"/>
    </row>
    <row r="235" spans="7:43" x14ac:dyDescent="0.25">
      <c r="G235" s="1"/>
      <c r="H235" s="1"/>
      <c r="I235" s="1"/>
      <c r="J235" s="1"/>
      <c r="K235" s="1"/>
      <c r="L235" s="1"/>
      <c r="M235" s="1"/>
      <c r="N235" s="1"/>
      <c r="O235" s="1"/>
      <c r="P235" s="1"/>
      <c r="Q235" s="1"/>
      <c r="R235" s="1"/>
      <c r="S235" s="1"/>
      <c r="T235" s="1"/>
      <c r="U235" s="1"/>
      <c r="V235" s="1"/>
      <c r="W235" s="1"/>
      <c r="X235" s="1"/>
      <c r="Y235" s="1"/>
      <c r="Z235" s="1"/>
      <c r="AA235" s="1"/>
      <c r="AQ235" s="1"/>
    </row>
    <row r="236" spans="7:43" x14ac:dyDescent="0.25">
      <c r="G236" s="1"/>
      <c r="H236" s="1"/>
      <c r="I236" s="1"/>
      <c r="J236" s="1"/>
      <c r="K236" s="1"/>
      <c r="L236" s="1"/>
      <c r="M236" s="1"/>
      <c r="N236" s="1"/>
      <c r="O236" s="1"/>
      <c r="P236" s="1"/>
      <c r="Q236" s="1"/>
      <c r="R236" s="1"/>
      <c r="S236" s="1"/>
      <c r="T236" s="1"/>
      <c r="U236" s="1"/>
      <c r="V236" s="1"/>
      <c r="W236" s="1"/>
      <c r="X236" s="1"/>
      <c r="Y236" s="1"/>
      <c r="Z236" s="1"/>
      <c r="AA236" s="1"/>
      <c r="AQ236" s="1"/>
    </row>
    <row r="237" spans="7:43" x14ac:dyDescent="0.25">
      <c r="G237" s="1"/>
      <c r="H237" s="1"/>
      <c r="I237" s="1"/>
      <c r="J237" s="1"/>
      <c r="K237" s="1"/>
      <c r="L237" s="1"/>
      <c r="M237" s="1"/>
      <c r="N237" s="1"/>
      <c r="O237" s="1"/>
      <c r="P237" s="1"/>
      <c r="Q237" s="1"/>
      <c r="R237" s="1"/>
      <c r="S237" s="1"/>
      <c r="T237" s="1"/>
      <c r="U237" s="1"/>
      <c r="V237" s="1"/>
      <c r="W237" s="1"/>
      <c r="X237" s="1"/>
      <c r="Y237" s="1"/>
      <c r="Z237" s="1"/>
      <c r="AA237" s="1"/>
      <c r="AQ237" s="1"/>
    </row>
    <row r="238" spans="7:43" x14ac:dyDescent="0.25">
      <c r="G238" s="1"/>
      <c r="H238" s="1"/>
      <c r="I238" s="1"/>
      <c r="J238" s="1"/>
      <c r="K238" s="1"/>
      <c r="L238" s="1"/>
      <c r="M238" s="1"/>
      <c r="N238" s="1"/>
      <c r="O238" s="1"/>
      <c r="P238" s="1"/>
      <c r="Q238" s="1"/>
      <c r="R238" s="1"/>
      <c r="S238" s="1"/>
      <c r="T238" s="1"/>
      <c r="U238" s="1"/>
      <c r="V238" s="1"/>
      <c r="W238" s="1"/>
      <c r="X238" s="1"/>
      <c r="Y238" s="1"/>
      <c r="Z238" s="1"/>
      <c r="AA238" s="1"/>
      <c r="AQ238" s="1"/>
    </row>
    <row r="239" spans="7:43" x14ac:dyDescent="0.25">
      <c r="G239" s="1"/>
      <c r="H239" s="1"/>
      <c r="I239" s="1"/>
      <c r="J239" s="1"/>
      <c r="K239" s="1"/>
      <c r="L239" s="1"/>
      <c r="M239" s="1"/>
      <c r="N239" s="1"/>
      <c r="O239" s="1"/>
      <c r="P239" s="1"/>
      <c r="Q239" s="1"/>
      <c r="R239" s="1"/>
      <c r="S239" s="1"/>
      <c r="T239" s="1"/>
      <c r="U239" s="1"/>
      <c r="V239" s="1"/>
      <c r="W239" s="1"/>
      <c r="X239" s="1"/>
      <c r="Y239" s="1"/>
      <c r="Z239" s="1"/>
      <c r="AA239" s="1"/>
      <c r="AQ239" s="1"/>
    </row>
    <row r="240" spans="7:43" x14ac:dyDescent="0.25">
      <c r="G240" s="1"/>
      <c r="H240" s="1"/>
      <c r="I240" s="1"/>
      <c r="J240" s="1"/>
      <c r="K240" s="1"/>
      <c r="L240" s="1"/>
      <c r="M240" s="1"/>
      <c r="N240" s="1"/>
      <c r="O240" s="1"/>
      <c r="P240" s="1"/>
      <c r="Q240" s="1"/>
      <c r="R240" s="1"/>
      <c r="S240" s="1"/>
      <c r="T240" s="1"/>
      <c r="U240" s="1"/>
      <c r="V240" s="1"/>
      <c r="W240" s="1"/>
      <c r="X240" s="1"/>
      <c r="Y240" s="1"/>
      <c r="Z240" s="1"/>
      <c r="AA240" s="1"/>
      <c r="AQ240" s="1"/>
    </row>
    <row r="241" spans="7:43" x14ac:dyDescent="0.25">
      <c r="G241" s="1"/>
      <c r="H241" s="1"/>
      <c r="I241" s="1"/>
      <c r="J241" s="1"/>
      <c r="K241" s="1"/>
      <c r="L241" s="1"/>
      <c r="M241" s="1"/>
      <c r="N241" s="1"/>
      <c r="O241" s="1"/>
      <c r="P241" s="1"/>
      <c r="Q241" s="1"/>
      <c r="R241" s="1"/>
      <c r="S241" s="1"/>
      <c r="T241" s="1"/>
      <c r="U241" s="1"/>
      <c r="V241" s="1"/>
      <c r="W241" s="1"/>
      <c r="X241" s="1"/>
      <c r="Y241" s="1"/>
      <c r="Z241" s="1"/>
      <c r="AA241" s="1"/>
      <c r="AQ241" s="1"/>
    </row>
    <row r="242" spans="7:43" x14ac:dyDescent="0.25">
      <c r="G242" s="1"/>
      <c r="H242" s="1"/>
      <c r="I242" s="1"/>
      <c r="J242" s="1"/>
      <c r="K242" s="1"/>
      <c r="L242" s="1"/>
      <c r="M242" s="1"/>
      <c r="N242" s="1"/>
      <c r="O242" s="1"/>
      <c r="P242" s="1"/>
      <c r="Q242" s="1"/>
      <c r="R242" s="1"/>
      <c r="S242" s="1"/>
      <c r="T242" s="1"/>
      <c r="U242" s="1"/>
      <c r="V242" s="1"/>
      <c r="W242" s="1"/>
      <c r="X242" s="1"/>
      <c r="Y242" s="1"/>
      <c r="Z242" s="1"/>
      <c r="AA242" s="1"/>
      <c r="AQ242" s="1"/>
    </row>
    <row r="243" spans="7:43" x14ac:dyDescent="0.25">
      <c r="G243" s="1"/>
      <c r="H243" s="1"/>
      <c r="I243" s="1"/>
      <c r="J243" s="1"/>
      <c r="K243" s="1"/>
      <c r="L243" s="1"/>
      <c r="M243" s="1"/>
      <c r="N243" s="1"/>
      <c r="O243" s="1"/>
      <c r="P243" s="1"/>
      <c r="Q243" s="1"/>
      <c r="R243" s="1"/>
      <c r="S243" s="1"/>
      <c r="T243" s="1"/>
      <c r="U243" s="1"/>
      <c r="V243" s="1"/>
      <c r="W243" s="1"/>
      <c r="X243" s="1"/>
      <c r="Y243" s="1"/>
      <c r="Z243" s="1"/>
      <c r="AA243" s="1"/>
      <c r="AQ243" s="1"/>
    </row>
    <row r="244" spans="7:43" x14ac:dyDescent="0.25">
      <c r="G244" s="1"/>
      <c r="H244" s="1"/>
      <c r="I244" s="1"/>
      <c r="J244" s="1"/>
      <c r="K244" s="1"/>
      <c r="L244" s="1"/>
      <c r="M244" s="1"/>
      <c r="N244" s="1"/>
      <c r="O244" s="1"/>
      <c r="P244" s="1"/>
      <c r="Q244" s="1"/>
      <c r="R244" s="1"/>
      <c r="S244" s="1"/>
      <c r="T244" s="1"/>
      <c r="U244" s="1"/>
      <c r="V244" s="1"/>
      <c r="W244" s="1"/>
      <c r="X244" s="1"/>
      <c r="Y244" s="1"/>
      <c r="Z244" s="1"/>
      <c r="AA244" s="1"/>
      <c r="AQ244" s="1"/>
    </row>
    <row r="245" spans="7:43" x14ac:dyDescent="0.25">
      <c r="G245" s="1"/>
      <c r="H245" s="1"/>
      <c r="I245" s="1"/>
      <c r="J245" s="1"/>
      <c r="K245" s="1"/>
      <c r="L245" s="1"/>
      <c r="M245" s="1"/>
      <c r="N245" s="1"/>
      <c r="O245" s="1"/>
      <c r="P245" s="1"/>
      <c r="Q245" s="1"/>
      <c r="R245" s="1"/>
      <c r="S245" s="1"/>
      <c r="T245" s="1"/>
      <c r="U245" s="1"/>
      <c r="V245" s="1"/>
      <c r="W245" s="1"/>
      <c r="X245" s="1"/>
      <c r="Y245" s="1"/>
      <c r="Z245" s="1"/>
      <c r="AA245" s="1"/>
      <c r="AQ245" s="1"/>
    </row>
    <row r="246" spans="7:43" x14ac:dyDescent="0.25">
      <c r="G246" s="1"/>
      <c r="H246" s="1"/>
      <c r="I246" s="1"/>
      <c r="J246" s="1"/>
      <c r="K246" s="1"/>
      <c r="L246" s="1"/>
      <c r="M246" s="1"/>
      <c r="N246" s="1"/>
      <c r="O246" s="1"/>
      <c r="P246" s="1"/>
      <c r="Q246" s="1"/>
      <c r="R246" s="1"/>
      <c r="S246" s="1"/>
      <c r="T246" s="1"/>
      <c r="U246" s="1"/>
      <c r="V246" s="1"/>
      <c r="W246" s="1"/>
      <c r="X246" s="1"/>
      <c r="Y246" s="1"/>
      <c r="Z246" s="1"/>
      <c r="AA246" s="1"/>
      <c r="AQ246" s="1"/>
    </row>
    <row r="247" spans="7:43" x14ac:dyDescent="0.25">
      <c r="G247" s="1"/>
      <c r="H247" s="1"/>
      <c r="I247" s="1"/>
      <c r="J247" s="1"/>
      <c r="K247" s="1"/>
      <c r="L247" s="1"/>
      <c r="M247" s="1"/>
      <c r="N247" s="1"/>
      <c r="O247" s="1"/>
      <c r="P247" s="1"/>
      <c r="Q247" s="1"/>
      <c r="R247" s="1"/>
      <c r="S247" s="1"/>
      <c r="T247" s="1"/>
      <c r="U247" s="1"/>
      <c r="V247" s="1"/>
      <c r="W247" s="1"/>
      <c r="X247" s="1"/>
      <c r="Y247" s="1"/>
      <c r="Z247" s="1"/>
      <c r="AA247" s="1"/>
      <c r="AQ247" s="1"/>
    </row>
    <row r="248" spans="7:43" x14ac:dyDescent="0.25">
      <c r="G248" s="1"/>
      <c r="H248" s="1"/>
      <c r="I248" s="1"/>
      <c r="J248" s="1"/>
      <c r="K248" s="1"/>
      <c r="L248" s="1"/>
      <c r="M248" s="1"/>
      <c r="N248" s="1"/>
      <c r="O248" s="1"/>
      <c r="P248" s="1"/>
      <c r="Q248" s="1"/>
      <c r="R248" s="1"/>
      <c r="S248" s="1"/>
      <c r="T248" s="1"/>
      <c r="U248" s="1"/>
      <c r="V248" s="1"/>
      <c r="W248" s="1"/>
      <c r="X248" s="1"/>
      <c r="Y248" s="1"/>
      <c r="Z248" s="1"/>
      <c r="AA248" s="1"/>
      <c r="AQ248" s="1"/>
    </row>
    <row r="249" spans="7:43" x14ac:dyDescent="0.25">
      <c r="G249" s="1"/>
      <c r="H249" s="1"/>
      <c r="I249" s="1"/>
      <c r="J249" s="1"/>
      <c r="K249" s="1"/>
      <c r="L249" s="1"/>
      <c r="M249" s="1"/>
      <c r="N249" s="1"/>
      <c r="O249" s="1"/>
      <c r="P249" s="1"/>
      <c r="Q249" s="1"/>
      <c r="R249" s="1"/>
      <c r="S249" s="1"/>
      <c r="T249" s="1"/>
      <c r="U249" s="1"/>
      <c r="V249" s="1"/>
      <c r="W249" s="1"/>
      <c r="X249" s="1"/>
      <c r="Y249" s="1"/>
      <c r="Z249" s="1"/>
      <c r="AA249" s="1"/>
      <c r="AQ249" s="1"/>
    </row>
    <row r="250" spans="7:43" x14ac:dyDescent="0.25">
      <c r="G250" s="1"/>
      <c r="H250" s="1"/>
      <c r="I250" s="1"/>
      <c r="J250" s="1"/>
      <c r="K250" s="1"/>
      <c r="L250" s="1"/>
      <c r="M250" s="1"/>
      <c r="N250" s="1"/>
      <c r="O250" s="1"/>
      <c r="P250" s="1"/>
      <c r="Q250" s="1"/>
      <c r="R250" s="1"/>
      <c r="S250" s="1"/>
      <c r="T250" s="1"/>
      <c r="U250" s="1"/>
      <c r="V250" s="1"/>
      <c r="W250" s="1"/>
      <c r="X250" s="1"/>
      <c r="Y250" s="1"/>
      <c r="Z250" s="1"/>
      <c r="AA250" s="1"/>
      <c r="AQ250" s="1"/>
    </row>
    <row r="251" spans="7:43" x14ac:dyDescent="0.25">
      <c r="G251" s="1"/>
      <c r="H251" s="1"/>
      <c r="I251" s="1"/>
      <c r="J251" s="1"/>
      <c r="K251" s="1"/>
      <c r="L251" s="1"/>
      <c r="M251" s="1"/>
      <c r="N251" s="1"/>
      <c r="O251" s="1"/>
      <c r="P251" s="1"/>
      <c r="Q251" s="1"/>
      <c r="R251" s="1"/>
      <c r="S251" s="1"/>
      <c r="T251" s="1"/>
      <c r="U251" s="1"/>
      <c r="V251" s="1"/>
      <c r="W251" s="1"/>
      <c r="X251" s="1"/>
      <c r="Y251" s="1"/>
      <c r="Z251" s="1"/>
      <c r="AA251" s="1"/>
      <c r="AQ251" s="1"/>
    </row>
    <row r="252" spans="7:43" x14ac:dyDescent="0.25">
      <c r="G252" s="1"/>
      <c r="H252" s="1"/>
      <c r="I252" s="1"/>
      <c r="J252" s="1"/>
      <c r="K252" s="1"/>
      <c r="L252" s="1"/>
      <c r="M252" s="1"/>
      <c r="N252" s="1"/>
      <c r="O252" s="1"/>
      <c r="P252" s="1"/>
      <c r="Q252" s="1"/>
      <c r="R252" s="1"/>
      <c r="S252" s="1"/>
      <c r="T252" s="1"/>
      <c r="U252" s="1"/>
      <c r="V252" s="1"/>
      <c r="W252" s="1"/>
      <c r="X252" s="1"/>
      <c r="Y252" s="1"/>
      <c r="Z252" s="1"/>
      <c r="AA252" s="1"/>
      <c r="AQ252" s="1"/>
    </row>
    <row r="253" spans="7:43" x14ac:dyDescent="0.25">
      <c r="G253" s="1"/>
      <c r="H253" s="1"/>
      <c r="I253" s="1"/>
      <c r="J253" s="1"/>
      <c r="K253" s="1"/>
      <c r="L253" s="1"/>
      <c r="M253" s="1"/>
      <c r="N253" s="1"/>
      <c r="O253" s="1"/>
      <c r="P253" s="1"/>
      <c r="Q253" s="1"/>
      <c r="R253" s="1"/>
      <c r="S253" s="1"/>
      <c r="T253" s="1"/>
      <c r="U253" s="1"/>
      <c r="V253" s="1"/>
      <c r="W253" s="1"/>
      <c r="X253" s="1"/>
      <c r="Y253" s="1"/>
      <c r="Z253" s="1"/>
      <c r="AA253" s="1"/>
      <c r="AQ253" s="1"/>
    </row>
    <row r="254" spans="7:43" x14ac:dyDescent="0.25">
      <c r="G254" s="1"/>
      <c r="H254" s="1"/>
      <c r="I254" s="1"/>
      <c r="J254" s="1"/>
      <c r="K254" s="1"/>
      <c r="L254" s="1"/>
      <c r="M254" s="1"/>
      <c r="N254" s="1"/>
      <c r="O254" s="1"/>
      <c r="P254" s="1"/>
      <c r="Q254" s="1"/>
      <c r="R254" s="1"/>
      <c r="S254" s="1"/>
      <c r="T254" s="1"/>
      <c r="U254" s="1"/>
      <c r="V254" s="1"/>
      <c r="W254" s="1"/>
      <c r="X254" s="1"/>
      <c r="Y254" s="1"/>
      <c r="Z254" s="1"/>
      <c r="AA254" s="1"/>
      <c r="AQ254" s="1"/>
    </row>
    <row r="255" spans="7:43" x14ac:dyDescent="0.25">
      <c r="G255" s="1"/>
      <c r="H255" s="1"/>
      <c r="I255" s="1"/>
      <c r="J255" s="1"/>
      <c r="K255" s="1"/>
      <c r="L255" s="1"/>
      <c r="M255" s="1"/>
      <c r="N255" s="1"/>
      <c r="O255" s="1"/>
      <c r="P255" s="1"/>
      <c r="Q255" s="1"/>
      <c r="R255" s="1"/>
      <c r="S255" s="1"/>
      <c r="T255" s="1"/>
      <c r="U255" s="1"/>
      <c r="V255" s="1"/>
      <c r="W255" s="1"/>
      <c r="X255" s="1"/>
      <c r="Y255" s="1"/>
      <c r="Z255" s="1"/>
      <c r="AA255" s="1"/>
      <c r="AQ255" s="1"/>
    </row>
    <row r="256" spans="7:43" x14ac:dyDescent="0.25">
      <c r="G256" s="1"/>
      <c r="H256" s="1"/>
      <c r="I256" s="1"/>
      <c r="J256" s="1"/>
      <c r="K256" s="1"/>
      <c r="L256" s="1"/>
      <c r="M256" s="1"/>
      <c r="N256" s="1"/>
      <c r="O256" s="1"/>
      <c r="P256" s="1"/>
      <c r="Q256" s="1"/>
      <c r="R256" s="1"/>
      <c r="S256" s="1"/>
      <c r="T256" s="1"/>
      <c r="U256" s="1"/>
      <c r="V256" s="1"/>
      <c r="W256" s="1"/>
      <c r="X256" s="1"/>
      <c r="Y256" s="1"/>
      <c r="Z256" s="1"/>
      <c r="AA256" s="1"/>
      <c r="AQ256" s="1"/>
    </row>
    <row r="257" spans="7:43" x14ac:dyDescent="0.25">
      <c r="G257" s="1"/>
      <c r="H257" s="1"/>
      <c r="I257" s="1"/>
      <c r="J257" s="1"/>
      <c r="K257" s="1"/>
      <c r="L257" s="1"/>
      <c r="M257" s="1"/>
      <c r="N257" s="1"/>
      <c r="O257" s="1"/>
      <c r="P257" s="1"/>
      <c r="Q257" s="1"/>
      <c r="R257" s="1"/>
      <c r="S257" s="1"/>
      <c r="T257" s="1"/>
      <c r="U257" s="1"/>
      <c r="V257" s="1"/>
      <c r="W257" s="1"/>
      <c r="X257" s="1"/>
      <c r="Y257" s="1"/>
      <c r="Z257" s="1"/>
      <c r="AA257" s="1"/>
      <c r="AQ257" s="1"/>
    </row>
    <row r="258" spans="7:43" x14ac:dyDescent="0.25">
      <c r="G258" s="1"/>
      <c r="H258" s="1"/>
      <c r="I258" s="1"/>
      <c r="J258" s="1"/>
      <c r="K258" s="1"/>
      <c r="L258" s="1"/>
      <c r="M258" s="1"/>
      <c r="N258" s="1"/>
      <c r="O258" s="1"/>
      <c r="P258" s="1"/>
      <c r="Q258" s="1"/>
      <c r="R258" s="1"/>
      <c r="S258" s="1"/>
      <c r="T258" s="1"/>
      <c r="U258" s="1"/>
      <c r="V258" s="1"/>
      <c r="W258" s="1"/>
      <c r="X258" s="1"/>
      <c r="Y258" s="1"/>
      <c r="Z258" s="1"/>
      <c r="AA258" s="1"/>
      <c r="AQ258" s="1"/>
    </row>
    <row r="259" spans="7:43" x14ac:dyDescent="0.25">
      <c r="G259" s="1"/>
      <c r="H259" s="1"/>
      <c r="I259" s="1"/>
      <c r="J259" s="1"/>
      <c r="K259" s="1"/>
      <c r="L259" s="1"/>
      <c r="M259" s="1"/>
      <c r="N259" s="1"/>
      <c r="O259" s="1"/>
      <c r="P259" s="1"/>
      <c r="Q259" s="1"/>
      <c r="R259" s="1"/>
      <c r="S259" s="1"/>
      <c r="T259" s="1"/>
      <c r="U259" s="1"/>
      <c r="V259" s="1"/>
      <c r="W259" s="1"/>
      <c r="X259" s="1"/>
      <c r="Y259" s="1"/>
      <c r="Z259" s="1"/>
      <c r="AA259" s="1"/>
      <c r="AQ259" s="1"/>
    </row>
    <row r="260" spans="7:43" x14ac:dyDescent="0.25">
      <c r="G260" s="1"/>
      <c r="H260" s="1"/>
      <c r="I260" s="1"/>
      <c r="J260" s="1"/>
      <c r="K260" s="1"/>
      <c r="L260" s="1"/>
      <c r="M260" s="1"/>
      <c r="N260" s="1"/>
      <c r="O260" s="1"/>
      <c r="P260" s="1"/>
      <c r="Q260" s="1"/>
      <c r="R260" s="1"/>
      <c r="S260" s="1"/>
      <c r="T260" s="1"/>
      <c r="U260" s="1"/>
      <c r="V260" s="1"/>
      <c r="W260" s="1"/>
      <c r="X260" s="1"/>
      <c r="Y260" s="1"/>
      <c r="Z260" s="1"/>
      <c r="AA260" s="1"/>
      <c r="AQ260" s="1"/>
    </row>
    <row r="261" spans="7:43" x14ac:dyDescent="0.25">
      <c r="G261" s="1"/>
      <c r="H261" s="1"/>
      <c r="I261" s="1"/>
      <c r="J261" s="1"/>
      <c r="K261" s="1"/>
      <c r="L261" s="1"/>
      <c r="M261" s="1"/>
      <c r="N261" s="1"/>
      <c r="O261" s="1"/>
      <c r="P261" s="1"/>
      <c r="Q261" s="1"/>
      <c r="R261" s="1"/>
      <c r="S261" s="1"/>
      <c r="T261" s="1"/>
      <c r="U261" s="1"/>
      <c r="V261" s="1"/>
      <c r="W261" s="1"/>
      <c r="X261" s="1"/>
      <c r="Y261" s="1"/>
      <c r="Z261" s="1"/>
      <c r="AA261" s="1"/>
      <c r="AQ261" s="1"/>
    </row>
    <row r="262" spans="7:43" x14ac:dyDescent="0.25">
      <c r="G262" s="1"/>
      <c r="H262" s="1"/>
      <c r="I262" s="1"/>
      <c r="J262" s="1"/>
      <c r="K262" s="1"/>
      <c r="L262" s="1"/>
      <c r="M262" s="1"/>
      <c r="N262" s="1"/>
      <c r="O262" s="1"/>
      <c r="P262" s="1"/>
      <c r="Q262" s="1"/>
      <c r="R262" s="1"/>
      <c r="S262" s="1"/>
      <c r="T262" s="1"/>
      <c r="U262" s="1"/>
      <c r="V262" s="1"/>
      <c r="W262" s="1"/>
      <c r="X262" s="1"/>
      <c r="Y262" s="1"/>
      <c r="Z262" s="1"/>
      <c r="AA262" s="1"/>
      <c r="AQ262" s="1"/>
    </row>
    <row r="263" spans="7:43" x14ac:dyDescent="0.25">
      <c r="G263" s="1"/>
      <c r="H263" s="1"/>
      <c r="I263" s="1"/>
      <c r="J263" s="1"/>
      <c r="K263" s="1"/>
      <c r="L263" s="1"/>
      <c r="M263" s="1"/>
      <c r="N263" s="1"/>
      <c r="O263" s="1"/>
      <c r="P263" s="1"/>
      <c r="Q263" s="1"/>
      <c r="R263" s="1"/>
      <c r="S263" s="1"/>
      <c r="T263" s="1"/>
      <c r="U263" s="1"/>
      <c r="V263" s="1"/>
      <c r="W263" s="1"/>
      <c r="X263" s="1"/>
      <c r="Y263" s="1"/>
      <c r="Z263" s="1"/>
      <c r="AA263" s="1"/>
      <c r="AQ263" s="1"/>
    </row>
  </sheetData>
  <sheetProtection sheet="1" formatCells="0" formatColumns="0" formatRows="0" insertColumns="0" insertRows="0" algorithmName="SHA-512" hashValue="0SwfZUhAvjoXzXRbYtIPFWOu4cl+c8btlf9OppZY0R8SREFf3XzE1BVL9GLEAYvG1hgRp8dUhOiTyrJBe0uNsQ==" saltValue="YJ5RxGbmyhQav7Xk1mqAHA==" spinCount="100000"/>
  <mergeCells count="248">
    <mergeCell ref="A2:AM2"/>
    <mergeCell ref="A3:AM3"/>
    <mergeCell ref="G6:J6"/>
    <mergeCell ref="N6:R6"/>
    <mergeCell ref="T6:Z6"/>
    <mergeCell ref="AA6:AF6"/>
    <mergeCell ref="AO6:AT6"/>
    <mergeCell ref="G7:R7"/>
    <mergeCell ref="W7:Z7"/>
    <mergeCell ref="AA7:AB7"/>
    <mergeCell ref="AC7:AE7"/>
    <mergeCell ref="AF7:AK7"/>
    <mergeCell ref="A9:B11"/>
    <mergeCell ref="G9:AE9"/>
    <mergeCell ref="AF9:AG10"/>
    <mergeCell ref="AH9:AM12"/>
    <mergeCell ref="AO9:AP10"/>
    <mergeCell ref="AQ9:AQ10"/>
    <mergeCell ref="AF11:AF12"/>
    <mergeCell ref="AG11:AG12"/>
    <mergeCell ref="AH13:AI13"/>
    <mergeCell ref="AJ13:AM13"/>
    <mergeCell ref="AH14:AI14"/>
    <mergeCell ref="AJ14:AM14"/>
    <mergeCell ref="AH15:AI15"/>
    <mergeCell ref="AJ15:AM15"/>
    <mergeCell ref="AH16:AI16"/>
    <mergeCell ref="AJ16:AM16"/>
    <mergeCell ref="AH17:AI17"/>
    <mergeCell ref="AJ17:AM17"/>
    <mergeCell ref="AH18:AI18"/>
    <mergeCell ref="AJ18:AM18"/>
    <mergeCell ref="AH19:AI19"/>
    <mergeCell ref="AJ19:AM19"/>
    <mergeCell ref="AH20:AI20"/>
    <mergeCell ref="AJ20:AM20"/>
    <mergeCell ref="AH21:AI21"/>
    <mergeCell ref="AH22:AI22"/>
    <mergeCell ref="AH23:AI23"/>
    <mergeCell ref="AH24:AI24"/>
    <mergeCell ref="AH25:AI25"/>
    <mergeCell ref="AH26:AI26"/>
    <mergeCell ref="AH27:AI27"/>
    <mergeCell ref="AH28:AI28"/>
    <mergeCell ref="AH29:AI29"/>
    <mergeCell ref="AH30:AI30"/>
    <mergeCell ref="AH31:AI31"/>
    <mergeCell ref="AH32:AI32"/>
    <mergeCell ref="AH33:AI33"/>
    <mergeCell ref="AH34:AI34"/>
    <mergeCell ref="AH35:AI35"/>
    <mergeCell ref="AH36:AI36"/>
    <mergeCell ref="AH37:AI37"/>
    <mergeCell ref="AH38:AI38"/>
    <mergeCell ref="AH39:AI39"/>
    <mergeCell ref="AH40:AI40"/>
    <mergeCell ref="AH41:AI41"/>
    <mergeCell ref="AJ41:AM41"/>
    <mergeCell ref="AH42:AI42"/>
    <mergeCell ref="AJ42:AM42"/>
    <mergeCell ref="AH43:AI43"/>
    <mergeCell ref="AJ43:AM43"/>
    <mergeCell ref="AH44:AI44"/>
    <mergeCell ref="AJ44:AM44"/>
    <mergeCell ref="AH45:AI45"/>
    <mergeCell ref="AJ45:AM45"/>
    <mergeCell ref="AH46:AI46"/>
    <mergeCell ref="AJ46:AM46"/>
    <mergeCell ref="AH47:AI47"/>
    <mergeCell ref="AJ47:AM47"/>
    <mergeCell ref="AH48:AI48"/>
    <mergeCell ref="AJ48:AM48"/>
    <mergeCell ref="AH49:AI49"/>
    <mergeCell ref="AJ49:AM49"/>
    <mergeCell ref="AH50:AI50"/>
    <mergeCell ref="AJ50:AM50"/>
    <mergeCell ref="AH51:AI51"/>
    <mergeCell ref="AJ51:AM51"/>
    <mergeCell ref="AH52:AI52"/>
    <mergeCell ref="AJ52:AM52"/>
    <mergeCell ref="AH53:AI53"/>
    <mergeCell ref="AJ53:AM53"/>
    <mergeCell ref="AH54:AI54"/>
    <mergeCell ref="AJ54:AM54"/>
    <mergeCell ref="AH55:AI55"/>
    <mergeCell ref="AJ55:AM55"/>
    <mergeCell ref="AH56:AI56"/>
    <mergeCell ref="AJ56:AM56"/>
    <mergeCell ref="AH57:AI57"/>
    <mergeCell ref="AJ57:AM57"/>
    <mergeCell ref="AH58:AI58"/>
    <mergeCell ref="AJ58:AM58"/>
    <mergeCell ref="AH59:AI59"/>
    <mergeCell ref="AJ59:AM59"/>
    <mergeCell ref="AH60:AI60"/>
    <mergeCell ref="AJ60:AM60"/>
    <mergeCell ref="AH61:AI61"/>
    <mergeCell ref="AJ61:AM61"/>
    <mergeCell ref="AH62:AI62"/>
    <mergeCell ref="AJ62:AM62"/>
    <mergeCell ref="AH64:AI64"/>
    <mergeCell ref="AJ64:AM64"/>
    <mergeCell ref="AH65:AI65"/>
    <mergeCell ref="AJ65:AM65"/>
    <mergeCell ref="AH66:AI66"/>
    <mergeCell ref="AJ66:AM66"/>
    <mergeCell ref="AH67:AI67"/>
    <mergeCell ref="AJ67:AM67"/>
    <mergeCell ref="AH68:AI68"/>
    <mergeCell ref="AH69:AI69"/>
    <mergeCell ref="AH70:AI70"/>
    <mergeCell ref="AH71:AI71"/>
    <mergeCell ref="AH72:AI72"/>
    <mergeCell ref="AH73:AI73"/>
    <mergeCell ref="AH74:AI74"/>
    <mergeCell ref="AH75:AI75"/>
    <mergeCell ref="AH76:AI76"/>
    <mergeCell ref="AH77:AI77"/>
    <mergeCell ref="AH78:AI78"/>
    <mergeCell ref="AH79:AI79"/>
    <mergeCell ref="AH80:AI80"/>
    <mergeCell ref="AH81:AI81"/>
    <mergeCell ref="AH82:AI82"/>
    <mergeCell ref="AH83:AI83"/>
    <mergeCell ref="AH84:AI84"/>
    <mergeCell ref="AH85:AI85"/>
    <mergeCell ref="AH86:AI86"/>
    <mergeCell ref="AH87:AI87"/>
    <mergeCell ref="AH88:AI88"/>
    <mergeCell ref="AJ88:AM88"/>
    <mergeCell ref="AH89:AI89"/>
    <mergeCell ref="AJ89:AM89"/>
    <mergeCell ref="AH90:AI90"/>
    <mergeCell ref="AJ90:AM90"/>
    <mergeCell ref="AH91:AI91"/>
    <mergeCell ref="AJ91:AM91"/>
    <mergeCell ref="AH92:AI92"/>
    <mergeCell ref="AJ92:AM92"/>
    <mergeCell ref="AH93:AI93"/>
    <mergeCell ref="AJ93:AM93"/>
    <mergeCell ref="AH94:AI94"/>
    <mergeCell ref="AJ94:AM94"/>
    <mergeCell ref="AH95:AI95"/>
    <mergeCell ref="AJ95:AM95"/>
    <mergeCell ref="AH96:AI96"/>
    <mergeCell ref="AJ96:AM96"/>
    <mergeCell ref="AH97:AI97"/>
    <mergeCell ref="AJ97:AM97"/>
    <mergeCell ref="AH98:AI98"/>
    <mergeCell ref="AJ98:AM98"/>
    <mergeCell ref="AH99:AI99"/>
    <mergeCell ref="AJ99:AM99"/>
    <mergeCell ref="AH100:AI100"/>
    <mergeCell ref="AJ100:AM100"/>
    <mergeCell ref="AH101:AI101"/>
    <mergeCell ref="AJ101:AM101"/>
    <mergeCell ref="AH102:AI102"/>
    <mergeCell ref="AJ102:AM102"/>
    <mergeCell ref="AH103:AI103"/>
    <mergeCell ref="AJ103:AM103"/>
    <mergeCell ref="AH104:AI104"/>
    <mergeCell ref="AJ104:AM104"/>
    <mergeCell ref="AH105:AI105"/>
    <mergeCell ref="AJ105:AM105"/>
    <mergeCell ref="AH106:AI106"/>
    <mergeCell ref="AJ106:AM106"/>
    <mergeCell ref="AH107:AI107"/>
    <mergeCell ref="AJ107:AM107"/>
    <mergeCell ref="AH108:AI108"/>
    <mergeCell ref="AJ108:AM108"/>
    <mergeCell ref="AH109:AI109"/>
    <mergeCell ref="AJ109:AM109"/>
    <mergeCell ref="AH110:AI110"/>
    <mergeCell ref="AJ110:AM110"/>
    <mergeCell ref="AH111:AI111"/>
    <mergeCell ref="AJ111:AM111"/>
    <mergeCell ref="AH112:AI112"/>
    <mergeCell ref="AJ112:AM112"/>
    <mergeCell ref="AH113:AI113"/>
    <mergeCell ref="AJ113:AM113"/>
    <mergeCell ref="A114:B114"/>
    <mergeCell ref="AH114:AM114"/>
    <mergeCell ref="A115:B115"/>
    <mergeCell ref="AH115:AM115"/>
    <mergeCell ref="A116:B116"/>
    <mergeCell ref="AE117:AF118"/>
    <mergeCell ref="AH117:AI118"/>
    <mergeCell ref="AK117:AM117"/>
    <mergeCell ref="A118:F118"/>
    <mergeCell ref="T118:AB120"/>
    <mergeCell ref="AG117:AG118"/>
    <mergeCell ref="AJ117:AJ118"/>
    <mergeCell ref="A119:F119"/>
    <mergeCell ref="AE119:AJ120"/>
    <mergeCell ref="A120:F120"/>
    <mergeCell ref="AK119:AK120"/>
    <mergeCell ref="AL119:AL120"/>
    <mergeCell ref="AM119:AM120"/>
    <mergeCell ref="AE121:AJ122"/>
    <mergeCell ref="A121:A122"/>
    <mergeCell ref="B121:B122"/>
    <mergeCell ref="AK121:AK122"/>
    <mergeCell ref="AL121:AL122"/>
    <mergeCell ref="AM121:AM122"/>
    <mergeCell ref="AE123:AJ124"/>
    <mergeCell ref="A123:A124"/>
    <mergeCell ref="B123:B124"/>
    <mergeCell ref="AK123:AK124"/>
    <mergeCell ref="AL123:AL124"/>
    <mergeCell ref="AM123:AM124"/>
    <mergeCell ref="AE125:AJ126"/>
    <mergeCell ref="A125:A126"/>
    <mergeCell ref="B125:B126"/>
    <mergeCell ref="AK125:AK126"/>
    <mergeCell ref="AL125:AL126"/>
    <mergeCell ref="AM125:AM126"/>
    <mergeCell ref="A127:F127"/>
    <mergeCell ref="AE127:AJ127"/>
    <mergeCell ref="A128:F129"/>
    <mergeCell ref="AE128:AJ129"/>
    <mergeCell ref="AK128:AK129"/>
    <mergeCell ref="AL128:AL129"/>
    <mergeCell ref="AM128:AM129"/>
    <mergeCell ref="A130:F131"/>
    <mergeCell ref="AE130:AJ131"/>
    <mergeCell ref="AK130:AK131"/>
    <mergeCell ref="AL130:AL131"/>
    <mergeCell ref="AM130:AM131"/>
    <mergeCell ref="AE132:AJ133"/>
    <mergeCell ref="B133:F133"/>
    <mergeCell ref="AK132:AK133"/>
    <mergeCell ref="AL132:AL133"/>
    <mergeCell ref="AM132:AM133"/>
    <mergeCell ref="AE134:AJ135"/>
    <mergeCell ref="AK134:AK135"/>
    <mergeCell ref="AL134:AL135"/>
    <mergeCell ref="AM134:AM135"/>
    <mergeCell ref="B136:F137"/>
    <mergeCell ref="AE136:AJ137"/>
    <mergeCell ref="AK136:AK137"/>
    <mergeCell ref="AL136:AL137"/>
    <mergeCell ref="AM136:AM137"/>
    <mergeCell ref="AE140:AM141"/>
    <mergeCell ref="T141:AC142"/>
    <mergeCell ref="AE142:AM142"/>
    <mergeCell ref="A145:B146"/>
    <mergeCell ref="AE145:AM145"/>
    <mergeCell ref="AE146:AM146"/>
  </mergeCells>
  <dataValidations count="5">
    <dataValidation type="list" allowBlank="1" showInputMessage="1" showErrorMessage="1" sqref="AH100:AI113">
      <formula1>"NLS, Transferred In, Transferred Out"</formula1>
    </dataValidation>
    <dataValidation type="list" allowBlank="1" showInputMessage="1" showErrorMessage="1" sqref="AH13:AI13">
      <formula1>"NLS,Transferred In, Transferred Out"</formula1>
    </dataValidation>
    <dataValidation type="list" allowBlank="1" showInputMessage="1" showErrorMessage="1" sqref="AH14:AH62">
      <formula1>"NLS, Transferred In, Transferred Out"</formula1>
    </dataValidation>
    <dataValidation type="list" allowBlank="1" showInputMessage="1" showErrorMessage="1" sqref="AH64:AI113">
      <formula1>"NLS, Transferred In, Transferred Out"</formula1>
    </dataValidation>
    <dataValidation type="list" allowBlank="1" showInputMessage="1" showErrorMessage="1" sqref="AI14:AI15">
      <formula1>"NLS, Transferred In, Transferred Out"</formula1>
    </dataValidation>
  </dataValidations>
  <pageMargins left="0.17" right="0.16" top="0.18" bottom="0.19" header="0.17" footer="0.16"/>
  <pageSetup paperSize="9" orientation="landscape" horizontalDpi="4294967295" verticalDpi="4294967295" scale="62" fitToWidth="1" fitToHeight="1" firstPageNumber="1" useFirstPageNumber="1" copies="1"/>
  <drawing r:id="rId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JUN</vt:lpstr>
      <vt:lpstr>JUL</vt:lpstr>
      <vt:lpstr>AUG</vt:lpstr>
      <vt:lpstr>SEP</vt:lpstr>
      <vt:lpstr>OCT</vt:lpstr>
      <vt:lpstr>NOV</vt:lpstr>
      <vt:lpstr>DEC</vt:lpstr>
      <vt:lpstr>JAN</vt:lpstr>
      <vt:lpstr>FEB</vt:lpstr>
      <vt:lpstr>MAR</vt:lpstr>
      <vt:lpstr>Scans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Jhunel Cris Teves</cp:lastModifiedBy>
  <dcterms:created xsi:type="dcterms:W3CDTF">2025-06-06T21:15:00Z</dcterms:created>
  <dcterms:modified xsi:type="dcterms:W3CDTF">2025-10-27T06:32:29Z</dcterms:modified>
</cp:coreProperties>
</file>